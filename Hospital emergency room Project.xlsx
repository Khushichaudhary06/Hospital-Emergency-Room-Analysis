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0c84bc22bd49faa/Desktop/Data analysis/"/>
    </mc:Choice>
  </mc:AlternateContent>
  <xr:revisionPtr revIDLastSave="2821" documentId="8_{AE1EFC89-B815-4CA0-B3B1-166ACEA37A0B}" xr6:coauthVersionLast="47" xr6:coauthVersionMax="47" xr10:uidLastSave="{E19DE008-793B-49AF-85D0-8BE8B8999F50}"/>
  <bookViews>
    <workbookView xWindow="-110" yWindow="-110" windowWidth="19420" windowHeight="10300" activeTab="2" xr2:uid="{DD511BF3-4892-4142-9E45-FD8E57FC38BF}"/>
  </bookViews>
  <sheets>
    <sheet name="Sheet1" sheetId="6" r:id="rId1"/>
    <sheet name="Pivot Report" sheetId="1" r:id="rId2"/>
    <sheet name="Dashboard" sheetId="2" r:id="rId3"/>
    <sheet name="Daily Emergency no of patient" sheetId="3" r:id="rId4"/>
    <sheet name="Average wait time daily trend" sheetId="4" r:id="rId5"/>
    <sheet name="Satisfaction score daily trends" sheetId="5" r:id="rId6"/>
  </sheets>
  <definedNames>
    <definedName name="ExternalData_1" localSheetId="0" hidden="1">Sheet1!$A$3:$M$272</definedName>
    <definedName name="Slicer_Date__Month">#N/A</definedName>
    <definedName name="Slicer_Date__Year">#N/A</definedName>
    <definedName name="solver_eng" localSheetId="2" hidden="1">1</definedName>
    <definedName name="solver_neg" localSheetId="2" hidden="1">1</definedName>
    <definedName name="solver_num" localSheetId="2" hidden="1">0</definedName>
    <definedName name="solver_opt" localSheetId="2" hidden="1">Dashboard!$P$18</definedName>
    <definedName name="solver_typ" localSheetId="2" hidden="1">1</definedName>
    <definedName name="solver_val" localSheetId="2" hidden="1">0</definedName>
    <definedName name="solver_ver" localSheetId="2" hidden="1">3</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94204b0-746f-4103-a4bf-a182b15b45ec" name="Hospital Emergency Room Data" connection="Query - Hospital Emergency Room Data"/>
          <x15:modelTable id="Calendar_Table_31ec6e70-bde7-4594-a9c0-efd50cd803a4" name="Calendar_Table" connection="Query - Calendar_Table"/>
        </x15:modelTables>
        <x15:modelRelationships>
          <x15:modelRelationship fromTable="Hospital Emergency Room Data"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0" i="1" l="1"/>
  <c r="A51" i="1"/>
  <c r="B51" i="1"/>
  <c r="B50" i="1"/>
  <c r="C50" i="1"/>
  <c r="C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9F246-CFEC-4A10-8A21-EEE0C0489B0F}" keepAlive="1" name="ModelConnection_ExternalData_1" description="Data Model" type="5" refreshedVersion="8" minRefreshableVersion="5" saveData="1">
    <dbPr connection="Data Model Connection" command="DRILLTHROUGH MAXROWS 1000 SELECT FROM [Model] WHERE (([Calendar_Table].[Date (Month)].&amp;[Jan],[Calendar_Table].[Date (Year)].&amp;[2024],[Measures].[Count of Patient Admission Flag],[Hospital Emergency Room Data].[Patient Admission Flag].&amp;[Admitted])) RETURN [$Hospital Emergency Room Data].[Patient Id],[$Hospital Emergency Room Data].[Patient Admission Date.1],[$Hospital Emergency Room Data].[Patient Admission Date.2],[$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54C27C93-9713-49F8-AF72-A7A28F2F45F1}" name="Query - Calendar_Table" description="Connection to the 'Calendar_Table' query in the workbook." type="100" refreshedVersion="8" minRefreshableVersion="5">
    <extLst>
      <ext xmlns:x15="http://schemas.microsoft.com/office/spreadsheetml/2010/11/main" uri="{DE250136-89BD-433C-8126-D09CA5730AF9}">
        <x15:connection id="b60efdc6-61c9-4e4a-b824-efd459f2410e"/>
      </ext>
    </extLst>
  </connection>
  <connection id="3" xr16:uid="{215FE776-B0D5-4796-968D-E5A19E1234A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f5196d0-5cad-4abc-a9ad-f6d252013e2d"/>
      </ext>
    </extLst>
  </connection>
  <connection id="4" xr16:uid="{83ACFA94-4266-4B17-B4A1-BEDCF7F80C3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<sst xmlns="http://schemas.openxmlformats.org/spreadsheetml/2006/main" count="2322" uniqueCount="634">
  <si>
    <t>Distinct Count of Patient Id</t>
  </si>
  <si>
    <t>Average of Patient Waittime</t>
  </si>
  <si>
    <t>Average of Patient Satisfaction Score</t>
  </si>
  <si>
    <t xml:space="preserve">No.of Patient </t>
  </si>
  <si>
    <t>Row Labels</t>
  </si>
  <si>
    <t>Grand Total</t>
  </si>
  <si>
    <t>Daily Trends of no of patient</t>
  </si>
  <si>
    <t>Average Waittime</t>
  </si>
  <si>
    <t>Admitted</t>
  </si>
  <si>
    <t>Not Admitted</t>
  </si>
  <si>
    <t>Count of Patient Admission Flag</t>
  </si>
  <si>
    <t>Count of Patient Admission Flag2</t>
  </si>
  <si>
    <t>Admission Status</t>
  </si>
  <si>
    <t>%Status</t>
  </si>
  <si>
    <t xml:space="preserve"> Patient</t>
  </si>
  <si>
    <t>Count of Age Group</t>
  </si>
  <si>
    <t>0-09</t>
  </si>
  <si>
    <t>10-19</t>
  </si>
  <si>
    <t>20-29</t>
  </si>
  <si>
    <t>30-39</t>
  </si>
  <si>
    <t>40-49</t>
  </si>
  <si>
    <t>50-59</t>
  </si>
  <si>
    <t>60-69</t>
  </si>
  <si>
    <t>70-79</t>
  </si>
  <si>
    <t>Age groupwise analysis</t>
  </si>
  <si>
    <t>Delay</t>
  </si>
  <si>
    <t>Ontime</t>
  </si>
  <si>
    <t>Count of Patient Attend Status</t>
  </si>
  <si>
    <t>Attended status</t>
  </si>
  <si>
    <t>Count of Patient Gender</t>
  </si>
  <si>
    <t>Female</t>
  </si>
  <si>
    <t>Male</t>
  </si>
  <si>
    <t>Gender wise Analysis</t>
  </si>
  <si>
    <t>Count of Department Referral</t>
  </si>
  <si>
    <t>Cardiology</t>
  </si>
  <si>
    <t>Gastroenterology</t>
  </si>
  <si>
    <t>General Practice</t>
  </si>
  <si>
    <t>Neurology</t>
  </si>
  <si>
    <t>None</t>
  </si>
  <si>
    <t>Orthopedics</t>
  </si>
  <si>
    <t>Physiotherapy</t>
  </si>
  <si>
    <t>Renal</t>
  </si>
  <si>
    <t>No of Patient by Department Referal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</si>
  <si>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</si>
  <si>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</si>
  <si>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</si>
  <si>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</si>
  <si>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</si>
  <si>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</si>
  <si>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</si>
  <si>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</si>
  <si>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</si>
  <si>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</si>
  <si>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</si>
  <si>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</si>
  <si>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</si>
  <si>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</si>
  <si>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</si>
  <si>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</si>
  <si>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</si>
  <si>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</si>
  <si>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</si>
  <si>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</si>
  <si>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</si>
  <si>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</si>
  <si>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</si>
  <si>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</si>
  <si>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</si>
  <si>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</si>
  <si>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</si>
  <si>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</si>
  <si>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</si>
  <si>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</si>
  <si>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</si>
  <si>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</si>
  <si>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Hospital Emergency Room Data[Patient Id]</t>
  </si>
  <si>
    <t>Hospital Emergency Room Data[Patient Admission Date.1]</t>
  </si>
  <si>
    <t>Hospital Emergency Room Data[Patient Admission Date.2]</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</si>
  <si>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</si>
  <si>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</si>
  <si>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</si>
  <si>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</si>
  <si>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</si>
  <si>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</si>
  <si>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</si>
  <si>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</si>
  <si>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</si>
  <si>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</si>
  <si>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860-05-8907</t>
  </si>
  <si>
    <t>E. St Clair</t>
  </si>
  <si>
    <t>White</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</si>
  <si>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</si>
  <si>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</si>
  <si>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</si>
  <si>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</si>
  <si>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</si>
  <si>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</si>
  <si>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</si>
  <si>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</si>
  <si>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</si>
  <si>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</si>
  <si>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</si>
  <si>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</si>
  <si>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</si>
  <si>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</si>
  <si>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</si>
  <si>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</si>
  <si>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</si>
  <si>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</si>
  <si>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</si>
  <si>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</si>
  <si>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</si>
  <si>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</si>
  <si>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</si>
  <si>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</si>
  <si>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</si>
  <si>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</si>
  <si>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</si>
  <si>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</si>
  <si>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</si>
  <si>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</si>
  <si>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</si>
  <si>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</si>
  <si>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</si>
  <si>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</si>
  <si>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</si>
  <si>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</si>
  <si>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</si>
  <si>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</si>
  <si>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</si>
  <si>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</si>
  <si>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</si>
  <si>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</si>
  <si>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</si>
  <si>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</si>
  <si>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</si>
  <si>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</si>
  <si>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</si>
  <si>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</si>
  <si>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</si>
  <si>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</si>
  <si>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</si>
  <si>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</si>
  <si>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</si>
  <si>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</si>
  <si>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</si>
  <si>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</si>
  <si>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</si>
  <si>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</si>
  <si>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</si>
  <si>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</si>
  <si>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</si>
  <si>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</si>
  <si>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</si>
  <si>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</si>
  <si>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</si>
  <si>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</si>
  <si>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</si>
  <si>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</si>
  <si>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</si>
  <si>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</si>
  <si>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</si>
  <si>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</si>
  <si>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</si>
  <si>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</si>
  <si>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716-90-5923</t>
  </si>
  <si>
    <t>V. Seadon</t>
  </si>
  <si>
    <t>African American</t>
  </si>
  <si>
    <t>404-87-6936</t>
  </si>
  <si>
    <t>M. Caudrelier</t>
  </si>
  <si>
    <t>226-63-2239</t>
  </si>
  <si>
    <t>L. Challinor</t>
  </si>
  <si>
    <t>853-29-4524</t>
  </si>
  <si>
    <t>M. Giraux</t>
  </si>
  <si>
    <t>702-35-3828</t>
  </si>
  <si>
    <t>N. Slainey</t>
  </si>
  <si>
    <t>233-87-0588</t>
  </si>
  <si>
    <t>F. Aronoff</t>
  </si>
  <si>
    <t>522-30-9330</t>
  </si>
  <si>
    <t>E. Van der Kruys</t>
  </si>
  <si>
    <t>237-42-9499</t>
  </si>
  <si>
    <t>M. Broadbury</t>
  </si>
  <si>
    <t>879-87-0888</t>
  </si>
  <si>
    <t>W. Scroyton</t>
  </si>
  <si>
    <t>785-35-7295</t>
  </si>
  <si>
    <t>K. McKeon</t>
  </si>
  <si>
    <t>283-38-5208</t>
  </si>
  <si>
    <t>N. Pleass</t>
  </si>
  <si>
    <t>639-02-2166</t>
  </si>
  <si>
    <t>C. Wyburn</t>
  </si>
  <si>
    <t>475-01-9497</t>
  </si>
  <si>
    <t>O. Tilson</t>
  </si>
  <si>
    <t>248-97-2178</t>
  </si>
  <si>
    <t>O. Gianninotti</t>
  </si>
  <si>
    <t>744-40-2958</t>
  </si>
  <si>
    <t>H. Dillow</t>
  </si>
  <si>
    <t>750-47-0673</t>
  </si>
  <si>
    <t>V. Blunkett</t>
  </si>
  <si>
    <t>387-69-7529</t>
  </si>
  <si>
    <t>M. Traill</t>
  </si>
  <si>
    <t>Two or More Races</t>
  </si>
  <si>
    <t>364-20-0981</t>
  </si>
  <si>
    <t>R. Exton</t>
  </si>
  <si>
    <t>187-53-7163</t>
  </si>
  <si>
    <t>T. Menis</t>
  </si>
  <si>
    <t>340-20-9334</t>
  </si>
  <si>
    <t>K. Ham</t>
  </si>
  <si>
    <t>186-91-5001</t>
  </si>
  <si>
    <t>F. Orpwood</t>
  </si>
  <si>
    <t>688-41-9049</t>
  </si>
  <si>
    <t>Q. Westwell</t>
  </si>
  <si>
    <t>658-64-5564</t>
  </si>
  <si>
    <t>D. Dearman</t>
  </si>
  <si>
    <t>587-69-3886</t>
  </si>
  <si>
    <t>V. Wombwell</t>
  </si>
  <si>
    <t>284-83-4586</t>
  </si>
  <si>
    <t>Y. Stanistreet</t>
  </si>
  <si>
    <t>290-32-8209</t>
  </si>
  <si>
    <t>F. Cubuzzi</t>
  </si>
  <si>
    <t>600-62-3412</t>
  </si>
  <si>
    <t>H. Ponting</t>
  </si>
  <si>
    <t>264-28-6782</t>
  </si>
  <si>
    <t>C. Widdowson</t>
  </si>
  <si>
    <t>181-08-6985</t>
  </si>
  <si>
    <t>Y. Laverock</t>
  </si>
  <si>
    <t>541-44-8484</t>
  </si>
  <si>
    <t>Q. Almond</t>
  </si>
  <si>
    <t>378-23-0641</t>
  </si>
  <si>
    <t>M. Bradbury</t>
  </si>
  <si>
    <t>435-25-9744</t>
  </si>
  <si>
    <t>I. Cullrford</t>
  </si>
  <si>
    <t>566-17-1941</t>
  </si>
  <si>
    <t>H. Hatz</t>
  </si>
  <si>
    <t>Asian</t>
  </si>
  <si>
    <t>563-01-2494</t>
  </si>
  <si>
    <t>D. Blaasch</t>
  </si>
  <si>
    <t>607-90-8770</t>
  </si>
  <si>
    <t>Q. Tidman</t>
  </si>
  <si>
    <t>405-04-7699</t>
  </si>
  <si>
    <t>L. Petrie</t>
  </si>
  <si>
    <t>802-89-4548</t>
  </si>
  <si>
    <t>P. Soro</t>
  </si>
  <si>
    <t>660-86-2261</t>
  </si>
  <si>
    <t>E. McKeown</t>
  </si>
  <si>
    <t>802-76-3724</t>
  </si>
  <si>
    <t>E. Pitkethly</t>
  </si>
  <si>
    <t>267-10-5957</t>
  </si>
  <si>
    <t>O. Guslon</t>
  </si>
  <si>
    <t>886-68-2597</t>
  </si>
  <si>
    <t>O. Crowter</t>
  </si>
  <si>
    <t>758-87-8577</t>
  </si>
  <si>
    <t>G. Haseldine</t>
  </si>
  <si>
    <t>303-71-2802</t>
  </si>
  <si>
    <t>K. Naylor</t>
  </si>
  <si>
    <t>261-26-8671</t>
  </si>
  <si>
    <t>E. Fellgate</t>
  </si>
  <si>
    <t>473-86-0631</t>
  </si>
  <si>
    <t>P. Veschi</t>
  </si>
  <si>
    <t>530-65-7735</t>
  </si>
  <si>
    <t>H. Pentycross</t>
  </si>
  <si>
    <t>745-62-9973</t>
  </si>
  <si>
    <t>D. Bleacher</t>
  </si>
  <si>
    <t>Declined to Identify</t>
  </si>
  <si>
    <t>112-50-3721</t>
  </si>
  <si>
    <t>J. Morison</t>
  </si>
  <si>
    <t>777-10-1248</t>
  </si>
  <si>
    <t>O. Storres</t>
  </si>
  <si>
    <t>803-79-1507</t>
  </si>
  <si>
    <t>E. Bassom</t>
  </si>
  <si>
    <t>589-50-5696</t>
  </si>
  <si>
    <t>D. Hele</t>
  </si>
  <si>
    <t>154-12-2643</t>
  </si>
  <si>
    <t>U. Durant</t>
  </si>
  <si>
    <t>164-26-6964</t>
  </si>
  <si>
    <t>N. Pickton</t>
  </si>
  <si>
    <t>873-89-4096</t>
  </si>
  <si>
    <t>P. Gilpin</t>
  </si>
  <si>
    <t>130-80-6101</t>
  </si>
  <si>
    <t>I. Barles</t>
  </si>
  <si>
    <t>823-59-0840</t>
  </si>
  <si>
    <t>P. Sekulla</t>
  </si>
  <si>
    <t>180-09-7890</t>
  </si>
  <si>
    <t>U. Dunster</t>
  </si>
  <si>
    <t>434-97-4357</t>
  </si>
  <si>
    <t>E. Goodayle</t>
  </si>
  <si>
    <t>139-22-0701</t>
  </si>
  <si>
    <t>L. Lovick</t>
  </si>
  <si>
    <t>456-18-0227</t>
  </si>
  <si>
    <t>O. Farryan</t>
  </si>
  <si>
    <t>Pacific Islander</t>
  </si>
  <si>
    <t>476-51-4466</t>
  </si>
  <si>
    <t>S. Bullan</t>
  </si>
  <si>
    <t>287-25-4664</t>
  </si>
  <si>
    <t>P. Fleckness</t>
  </si>
  <si>
    <t>688-62-6860</t>
  </si>
  <si>
    <t>L. Hurdle</t>
  </si>
  <si>
    <t>Native American/Alaska Native</t>
  </si>
  <si>
    <t>392-65-2951</t>
  </si>
  <si>
    <t>R. Haldane</t>
  </si>
  <si>
    <t>842-46-5824</t>
  </si>
  <si>
    <t>J. Roots</t>
  </si>
  <si>
    <t>555-44-3372</t>
  </si>
  <si>
    <t>Q. McGiffie</t>
  </si>
  <si>
    <t>237-36-6208</t>
  </si>
  <si>
    <t>I. Astlet</t>
  </si>
  <si>
    <t>689-43-8910</t>
  </si>
  <si>
    <t>T. Passo</t>
  </si>
  <si>
    <t>162-86-9521</t>
  </si>
  <si>
    <t>A. Cudihy</t>
  </si>
  <si>
    <t>782-13-9566</t>
  </si>
  <si>
    <t>A. Hallad</t>
  </si>
  <si>
    <t>132-84-3700</t>
  </si>
  <si>
    <t>F. Ackermann</t>
  </si>
  <si>
    <t>863-58-2563</t>
  </si>
  <si>
    <t>I. Baynton</t>
  </si>
  <si>
    <t>291-35-7777</t>
  </si>
  <si>
    <t>H. Tangye</t>
  </si>
  <si>
    <t>124-82-5230</t>
  </si>
  <si>
    <t>D. Coster</t>
  </si>
  <si>
    <t>709-74-1500</t>
  </si>
  <si>
    <t>L. Barson</t>
  </si>
  <si>
    <t>164-26-6306</t>
  </si>
  <si>
    <t>X. Griffen</t>
  </si>
  <si>
    <t>728-66-8875</t>
  </si>
  <si>
    <t>X. Burness</t>
  </si>
  <si>
    <t>845-97-2213</t>
  </si>
  <si>
    <t>H. Willcot</t>
  </si>
  <si>
    <t>761-66-7563</t>
  </si>
  <si>
    <t>W. Colvin</t>
  </si>
  <si>
    <t>566-48-5826</t>
  </si>
  <si>
    <t>Z. Cloonan</t>
  </si>
  <si>
    <t>271-54-8655</t>
  </si>
  <si>
    <t>L. MacGahy</t>
  </si>
  <si>
    <t>429-16-7013</t>
  </si>
  <si>
    <t>Q. Chalk</t>
  </si>
  <si>
    <t>195-11-7509</t>
  </si>
  <si>
    <t>X. McEachern</t>
  </si>
  <si>
    <t>123-98-9698</t>
  </si>
  <si>
    <t>H. Wetherburn</t>
  </si>
  <si>
    <t>782-38-8963</t>
  </si>
  <si>
    <t>B. Bricksey</t>
  </si>
  <si>
    <t>872-25-5467</t>
  </si>
  <si>
    <t>O. Fortey</t>
  </si>
  <si>
    <t>614-10-6705</t>
  </si>
  <si>
    <t>Q. Liggins</t>
  </si>
  <si>
    <t>791-29-5321</t>
  </si>
  <si>
    <t>L. Stonbridge</t>
  </si>
  <si>
    <t>308-11-3429</t>
  </si>
  <si>
    <t>D. Wyldbore</t>
  </si>
  <si>
    <t>401-75-7006</t>
  </si>
  <si>
    <t>D. Kinahan</t>
  </si>
  <si>
    <t>614-40-8020</t>
  </si>
  <si>
    <t>H. Woodcock</t>
  </si>
  <si>
    <t>209-13-8764</t>
  </si>
  <si>
    <t>A. Glaister</t>
  </si>
  <si>
    <t>526-02-3053</t>
  </si>
  <si>
    <t>P. Peach</t>
  </si>
  <si>
    <t>639-06-0100</t>
  </si>
  <si>
    <t>Q. Brachell</t>
  </si>
  <si>
    <t>476-22-8060</t>
  </si>
  <si>
    <t>S. Allsebrook</t>
  </si>
  <si>
    <t>828-96-6456</t>
  </si>
  <si>
    <t>J. Rosenstein</t>
  </si>
  <si>
    <t>627-61-1866</t>
  </si>
  <si>
    <t>D. Borsi</t>
  </si>
  <si>
    <t>474-83-6505</t>
  </si>
  <si>
    <t>P. Gheorghie</t>
  </si>
  <si>
    <t>873-79-1304</t>
  </si>
  <si>
    <t>A. Eickhoff</t>
  </si>
  <si>
    <t>866-62-4550</t>
  </si>
  <si>
    <t>F. McBayne</t>
  </si>
  <si>
    <t>608-47-0337</t>
  </si>
  <si>
    <t>R. Boyle</t>
  </si>
  <si>
    <t>730-54-8361</t>
  </si>
  <si>
    <t>R. O'Lennachain</t>
  </si>
  <si>
    <t>374-46-8007</t>
  </si>
  <si>
    <t>R. McLugish</t>
  </si>
  <si>
    <t>260-70-4444</t>
  </si>
  <si>
    <t>I. Temprell</t>
  </si>
  <si>
    <t>302-68-9742</t>
  </si>
  <si>
    <t>L. Penylton</t>
  </si>
  <si>
    <t>313-36-3938</t>
  </si>
  <si>
    <t>G. Heigold</t>
  </si>
  <si>
    <t>327-14-9748</t>
  </si>
  <si>
    <t>P. Dance</t>
  </si>
  <si>
    <t>409-55-2108</t>
  </si>
  <si>
    <t>R. Buller</t>
  </si>
  <si>
    <t>828-19-1085</t>
  </si>
  <si>
    <t>V. Gilfoy</t>
  </si>
  <si>
    <t>167-77-4307</t>
  </si>
  <si>
    <t>F. Tunniclisse</t>
  </si>
  <si>
    <t>423-67-7757</t>
  </si>
  <si>
    <t>Y. Seagrave</t>
  </si>
  <si>
    <t>229-98-0118</t>
  </si>
  <si>
    <t>R. Dugmore</t>
  </si>
  <si>
    <t>357-69-5446</t>
  </si>
  <si>
    <t>A. Huetson</t>
  </si>
  <si>
    <t>634-94-1438</t>
  </si>
  <si>
    <t>P. Baudichon</t>
  </si>
  <si>
    <t>172-88-9711</t>
  </si>
  <si>
    <t>L. Fricke</t>
  </si>
  <si>
    <t>402-85-5587</t>
  </si>
  <si>
    <t>P. Biggen</t>
  </si>
  <si>
    <t>558-62-7213</t>
  </si>
  <si>
    <t>U. McAneny</t>
  </si>
  <si>
    <t>793-25-4580</t>
  </si>
  <si>
    <t>T. Chellenham</t>
  </si>
  <si>
    <t>458-91-1637</t>
  </si>
  <si>
    <t>V. Shrimpton</t>
  </si>
  <si>
    <t>676-76-2593</t>
  </si>
  <si>
    <t>O. Adamo</t>
  </si>
  <si>
    <t>740-27-0503</t>
  </si>
  <si>
    <t>Q. Lodwick</t>
  </si>
  <si>
    <t>490-34-8816</t>
  </si>
  <si>
    <t>T. Sheddan</t>
  </si>
  <si>
    <t>411-44-1446</t>
  </si>
  <si>
    <t>U. Stamper</t>
  </si>
  <si>
    <t>342-20-9295</t>
  </si>
  <si>
    <t>E. Revey</t>
  </si>
  <si>
    <t>705-51-2537</t>
  </si>
  <si>
    <t>I. Olyet</t>
  </si>
  <si>
    <t>155-01-1799</t>
  </si>
  <si>
    <t>K. Grew</t>
  </si>
  <si>
    <t>236-71-7697</t>
  </si>
  <si>
    <t>Y. Battabee</t>
  </si>
  <si>
    <t>540-19-1275</t>
  </si>
  <si>
    <t>B. Elford</t>
  </si>
  <si>
    <t>176-79-9558</t>
  </si>
  <si>
    <t>X. Woolmington</t>
  </si>
  <si>
    <t>809-23-9007</t>
  </si>
  <si>
    <t>A. Cortes</t>
  </si>
  <si>
    <t>287-09-1852</t>
  </si>
  <si>
    <t>O. Kollatsch</t>
  </si>
  <si>
    <t>404-61-7141</t>
  </si>
  <si>
    <t>G. Schuler</t>
  </si>
  <si>
    <t>385-87-1090</t>
  </si>
  <si>
    <t>R. Reuben</t>
  </si>
  <si>
    <t>675-28-6083</t>
  </si>
  <si>
    <t>P. Straine</t>
  </si>
  <si>
    <t>234-45-3966</t>
  </si>
  <si>
    <t>M. Treweek</t>
  </si>
  <si>
    <t>631-92-2982</t>
  </si>
  <si>
    <t>E. Diament</t>
  </si>
  <si>
    <t>807-90-1810</t>
  </si>
  <si>
    <t>B. Whitemarsh</t>
  </si>
  <si>
    <t>175-49-8550</t>
  </si>
  <si>
    <t>B. Nisot</t>
  </si>
  <si>
    <t>310-36-1997</t>
  </si>
  <si>
    <t>S. Rennicks</t>
  </si>
  <si>
    <t>599-03-3606</t>
  </si>
  <si>
    <t>G. Deverose</t>
  </si>
  <si>
    <t>205-08-4156</t>
  </si>
  <si>
    <t>Q. Tschirasche</t>
  </si>
  <si>
    <t>388-09-3917</t>
  </si>
  <si>
    <t>N. Ambrosch</t>
  </si>
  <si>
    <t>366-34-5964</t>
  </si>
  <si>
    <t>P. Dovidian</t>
  </si>
  <si>
    <t>208-59-6965</t>
  </si>
  <si>
    <t>K. Di Franceshci</t>
  </si>
  <si>
    <t>452-18-8105</t>
  </si>
  <si>
    <t>U. Pattini</t>
  </si>
  <si>
    <t>899-18-1079</t>
  </si>
  <si>
    <t>Z. Skeemer</t>
  </si>
  <si>
    <t>259-62-7456</t>
  </si>
  <si>
    <t>K. Wragge</t>
  </si>
  <si>
    <t>769-87-4732</t>
  </si>
  <si>
    <t>X. Bizley</t>
  </si>
  <si>
    <t>400-76-7705</t>
  </si>
  <si>
    <t>Y. Battleson</t>
  </si>
  <si>
    <t>433-82-5158</t>
  </si>
  <si>
    <t>S. Broughton</t>
  </si>
  <si>
    <t>693-84-3710</t>
  </si>
  <si>
    <t>W. McVaugh</t>
  </si>
  <si>
    <t>412-66-4473</t>
  </si>
  <si>
    <t>O. Kemson</t>
  </si>
  <si>
    <t>383-24-5206</t>
  </si>
  <si>
    <t>O. Blackford</t>
  </si>
  <si>
    <t>880-01-0115</t>
  </si>
  <si>
    <t>K. Burness</t>
  </si>
  <si>
    <t>578-18-1747</t>
  </si>
  <si>
    <t>M. Scambler</t>
  </si>
  <si>
    <t>561-25-6133</t>
  </si>
  <si>
    <t>G. Bradlaugh</t>
  </si>
  <si>
    <t>871-08-2820</t>
  </si>
  <si>
    <t>H. Whisson</t>
  </si>
  <si>
    <t>899-68-1954</t>
  </si>
  <si>
    <t>H. Gerler</t>
  </si>
  <si>
    <t>304-65-0090</t>
  </si>
  <si>
    <t>M. Caddens</t>
  </si>
  <si>
    <t>135-96-4722</t>
  </si>
  <si>
    <t>V. Ganderton</t>
  </si>
  <si>
    <t>451-68-1953</t>
  </si>
  <si>
    <t>U. Ainley</t>
  </si>
  <si>
    <t>348-60-4130</t>
  </si>
  <si>
    <t>Y. Curtin</t>
  </si>
  <si>
    <t>628-86-1438</t>
  </si>
  <si>
    <t>Z. Witherup</t>
  </si>
  <si>
    <t>815-34-1721</t>
  </si>
  <si>
    <t>B. Balwin</t>
  </si>
  <si>
    <t>323-99-0794</t>
  </si>
  <si>
    <t>I. Ruselin</t>
  </si>
  <si>
    <t>662-78-5868</t>
  </si>
  <si>
    <t>J. Inskipp</t>
  </si>
  <si>
    <t>421-15-9145</t>
  </si>
  <si>
    <t>F. Brunsen</t>
  </si>
  <si>
    <t>344-30-6145</t>
  </si>
  <si>
    <t>Q. Hardaker</t>
  </si>
  <si>
    <t>106-06-0564</t>
  </si>
  <si>
    <t>Q. Mountlow</t>
  </si>
  <si>
    <t>355-78-2842</t>
  </si>
  <si>
    <t>V. Van Salzberger</t>
  </si>
  <si>
    <t>566-41-9643</t>
  </si>
  <si>
    <t>B. Charlson</t>
  </si>
  <si>
    <t>843-76-4020</t>
  </si>
  <si>
    <t>O. Bussy</t>
  </si>
  <si>
    <t>538-56-3650</t>
  </si>
  <si>
    <t>R. Dobell</t>
  </si>
  <si>
    <t>840-11-5082</t>
  </si>
  <si>
    <t>L. Wyburn</t>
  </si>
  <si>
    <t>782-93-8426</t>
  </si>
  <si>
    <t>Q. Mechic</t>
  </si>
  <si>
    <t>671-01-8634</t>
  </si>
  <si>
    <t>G. Corneille</t>
  </si>
  <si>
    <t>542-01-8930</t>
  </si>
  <si>
    <t>J. Arnecke</t>
  </si>
  <si>
    <t>206-29-8584</t>
  </si>
  <si>
    <t>S. Fearnsides</t>
  </si>
  <si>
    <t>536-22-5483</t>
  </si>
  <si>
    <t>B. Ableson</t>
  </si>
  <si>
    <t>377-64-6766</t>
  </si>
  <si>
    <t>T. Ingreda</t>
  </si>
  <si>
    <t>248-68-6775</t>
  </si>
  <si>
    <t>W. Matlock</t>
  </si>
  <si>
    <t>247-10-0203</t>
  </si>
  <si>
    <t>F. Elmhirst</t>
  </si>
  <si>
    <t>872-56-7401</t>
  </si>
  <si>
    <t>Y. Armfield</t>
  </si>
  <si>
    <t>338-57-1208</t>
  </si>
  <si>
    <t>S. Samwayes</t>
  </si>
  <si>
    <t>644-14-3306</t>
  </si>
  <si>
    <t>C. Wellan</t>
  </si>
  <si>
    <t>861-97-8016</t>
  </si>
  <si>
    <t>L. Edgington</t>
  </si>
  <si>
    <t>877-16-4474</t>
  </si>
  <si>
    <t>Z. Leather</t>
  </si>
  <si>
    <t>409-75-3660</t>
  </si>
  <si>
    <t>M. McKintosh</t>
  </si>
  <si>
    <t>320-82-5563</t>
  </si>
  <si>
    <t>S. Rubel</t>
  </si>
  <si>
    <t>382-18-5399</t>
  </si>
  <si>
    <t>B. Assiratti</t>
  </si>
  <si>
    <t>448-62-7896</t>
  </si>
  <si>
    <t>P. Bruins</t>
  </si>
  <si>
    <t>424-07-7939</t>
  </si>
  <si>
    <t>K. Glyn</t>
  </si>
  <si>
    <t>516-65-1574</t>
  </si>
  <si>
    <t>F. Colwell</t>
  </si>
  <si>
    <t>182-88-7190</t>
  </si>
  <si>
    <t>X. Favill</t>
  </si>
  <si>
    <t>551-28-9613</t>
  </si>
  <si>
    <t>E. Yancey</t>
  </si>
  <si>
    <t>368-48-8290</t>
  </si>
  <si>
    <t>O. Carrabott</t>
  </si>
  <si>
    <t>693-73-0619</t>
  </si>
  <si>
    <t>U. Danforth</t>
  </si>
  <si>
    <t>226-68-1759</t>
  </si>
  <si>
    <t>U. Lacroix</t>
  </si>
  <si>
    <t>100-21-9648</t>
  </si>
  <si>
    <t>W. Marran</t>
  </si>
  <si>
    <t>463-17-9883</t>
  </si>
  <si>
    <t>X. Lasty</t>
  </si>
  <si>
    <t>868-41-2022</t>
  </si>
  <si>
    <t>M. Baulcombe</t>
  </si>
  <si>
    <t>503-41-1563</t>
  </si>
  <si>
    <t>H. Sims</t>
  </si>
  <si>
    <t>592-35-6777</t>
  </si>
  <si>
    <t>O. McMichell</t>
  </si>
  <si>
    <t>660-02-3659</t>
  </si>
  <si>
    <t>N. Danilchik</t>
  </si>
  <si>
    <t>880-92-3850</t>
  </si>
  <si>
    <t>A. Lyne</t>
  </si>
  <si>
    <t>617-03-1693</t>
  </si>
  <si>
    <t>I. Sampson</t>
  </si>
  <si>
    <t>733-34-8942</t>
  </si>
  <si>
    <t>T. Ikins</t>
  </si>
  <si>
    <t>743-09-6069</t>
  </si>
  <si>
    <t>H. Slee</t>
  </si>
  <si>
    <t>262-62-7521</t>
  </si>
  <si>
    <t>S. Daniau</t>
  </si>
  <si>
    <t>588-82-3045</t>
  </si>
  <si>
    <t>F. Hastin</t>
  </si>
  <si>
    <t>291-97-4031</t>
  </si>
  <si>
    <t>D. Churches</t>
  </si>
  <si>
    <t>639-41-9990</t>
  </si>
  <si>
    <t>Q. Baudy</t>
  </si>
  <si>
    <t>635-96-2790</t>
  </si>
  <si>
    <t>H. Hookes</t>
  </si>
  <si>
    <t>687-65-8903</t>
  </si>
  <si>
    <t>R. Lovstrom</t>
  </si>
  <si>
    <t>827-40-8129</t>
  </si>
  <si>
    <t>A. Assad</t>
  </si>
  <si>
    <t>543-66-8030</t>
  </si>
  <si>
    <t>J. Harte</t>
  </si>
  <si>
    <t>598-65-6510</t>
  </si>
  <si>
    <t>Q. Scadden</t>
  </si>
  <si>
    <t>459-41-0106</t>
  </si>
  <si>
    <t>G. Humbey</t>
  </si>
  <si>
    <t>366-93-1146</t>
  </si>
  <si>
    <t>G. Greeding</t>
  </si>
  <si>
    <t>201-30-6345</t>
  </si>
  <si>
    <t>W. Cutcliffe</t>
  </si>
  <si>
    <t>269-62-2200</t>
  </si>
  <si>
    <t>W. Barzen</t>
  </si>
  <si>
    <t>269-56-0676</t>
  </si>
  <si>
    <t>R. Tooth</t>
  </si>
  <si>
    <t>726-38-4364</t>
  </si>
  <si>
    <t>Q. Pickthall</t>
  </si>
  <si>
    <t>795-55-7654</t>
  </si>
  <si>
    <t>O. Garlick</t>
  </si>
  <si>
    <t>234-47-1462</t>
  </si>
  <si>
    <t>C. Trainer</t>
  </si>
  <si>
    <t>130-03-6486</t>
  </si>
  <si>
    <t>M. Carwithan</t>
  </si>
  <si>
    <t>827-65-1958</t>
  </si>
  <si>
    <t>E. D'Oyly</t>
  </si>
  <si>
    <t>481-99-0791</t>
  </si>
  <si>
    <t>Y. Silveston</t>
  </si>
  <si>
    <t>705-87-4667</t>
  </si>
  <si>
    <t>H. Woolnough</t>
  </si>
  <si>
    <t>157-49-9764</t>
  </si>
  <si>
    <t>R. Hundley</t>
  </si>
  <si>
    <t>637-81-2602</t>
  </si>
  <si>
    <t>L. Curneen</t>
  </si>
  <si>
    <t>Data returned for Count of Patient Admission Flag2, Admitted, Jan - 2024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</si>
</sst>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ptos"/>
      <family val="2"/>
    </font>
    <font>
      <sz val="11"/>
      <color theme="1"/>
      <name val="Calibri Light"/>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
      <patternFill patternType="solid">
        <fgColor rgb="FF8FB2C3"/>
        <bgColor indexed="64"/>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10" fontId="0" fillId="0" borderId="0" xfId="0" applyNumberFormat="1"/>
    <xf numFmtId="9" fontId="0" fillId="0" borderId="0" xfId="42" applyFont="1" applyBorder="1"/>
    <xf numFmtId="0" fontId="0" fillId="34" borderId="0" xfId="0" applyFill="1"/>
    <xf numFmtId="0" fontId="0" fillId="35" borderId="0" xfId="0" applyFill="1"/>
    <xf numFmtId="0" fontId="18" fillId="0" borderId="0" xfId="0" pivotButton="1" applyFont="1"/>
    <xf numFmtId="0" fontId="19" fillId="0" borderId="0" xfId="0" applyFont="1"/>
    <xf numFmtId="14" fontId="0" fillId="0" borderId="0" xfId="0" applyNumberFormat="1"/>
    <xf numFmtId="21"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26" formatCode="hh:mm:ss"/>
    </dxf>
    <dxf>
      <numFmt numFmtId="19" formatCode="dd/mm/yyyy"/>
    </dxf>
    <dxf>
      <numFmt numFmtId="2" formatCode="0.00"/>
    </dxf>
    <dxf>
      <numFmt numFmtId="14" formatCode="0.00%"/>
    </dxf>
    <dxf>
      <numFmt numFmtId="2" formatCode="0.00"/>
    </dxf>
    <dxf>
      <numFmt numFmtId="2" formatCode="0.00"/>
    </dxf>
    <dxf>
      <font>
        <name val="Calibri Light"/>
        <scheme val="major"/>
      </font>
    </dxf>
    <dxf>
      <font>
        <name val="Aptos"/>
        <scheme val="none"/>
      </font>
    </dxf>
    <dxf>
      <font>
        <name val="Arial Nova"/>
        <scheme val="none"/>
      </font>
    </dxf>
    <dxf>
      <font>
        <name val="Arial Nova"/>
        <scheme val="none"/>
      </font>
    </dxf>
  </dxfs>
  <tableStyles count="1" defaultTableStyle="TableStyleMedium2" defaultPivotStyle="PivotStyleLight16">
    <tableStyle name="Invisible" pivot="0" table="0" count="0" xr9:uid="{88769603-9019-4448-97C6-6D49E0547EAD}"/>
  </tableStyles>
  <colors>
    <mruColors>
      <color rgb="FF99CCFF"/>
      <color rgb="FFFF66CC"/>
      <color rgb="FFFF33CC"/>
      <color rgb="FF8FB2C3"/>
      <color rgb="FF125E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Report!PivotTable11</c:name>
    <c:fmtId val="6"/>
  </c:pivotSource>
  <c:chart>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pivotFmt>
      <c:pivotFmt>
        <c:idx val="3"/>
        <c:spPr>
          <a:solidFill>
            <a:srgbClr val="7030A0"/>
          </a:solidFill>
          <a:ln>
            <a:noFill/>
          </a:ln>
          <a:effectLst/>
        </c:spPr>
      </c:pivotFmt>
    </c:pivotFmts>
    <c:plotArea>
      <c:layout>
        <c:manualLayout>
          <c:layoutTarget val="inner"/>
          <c:xMode val="edge"/>
          <c:yMode val="edge"/>
          <c:x val="0"/>
          <c:y val="4.5105313304547017E-3"/>
          <c:w val="1"/>
          <c:h val="0.96877875525856727"/>
        </c:manualLayout>
      </c:layout>
      <c:barChart>
        <c:barDir val="bar"/>
        <c:grouping val="clustered"/>
        <c:varyColors val="0"/>
        <c:ser>
          <c:idx val="0"/>
          <c:order val="0"/>
          <c:tx>
            <c:strRef>
              <c:f>'Pivot Report'!$B$42</c:f>
              <c:strCache>
                <c:ptCount val="1"/>
                <c:pt idx="0">
                  <c:v>Count of Patient Admission Flag</c:v>
                </c:pt>
              </c:strCache>
            </c:strRef>
          </c:tx>
          <c:spPr>
            <a:solidFill>
              <a:srgbClr val="7030A0"/>
            </a:solidFill>
            <a:ln>
              <a:noFill/>
            </a:ln>
            <a:effectLst/>
          </c:spPr>
          <c:invertIfNegative val="0"/>
          <c:cat>
            <c:strRef>
              <c:f>'Pivot Report'!$A$43:$A$45</c:f>
              <c:strCache>
                <c:ptCount val="2"/>
                <c:pt idx="0">
                  <c:v>Admitted</c:v>
                </c:pt>
                <c:pt idx="1">
                  <c:v>Not Admitted</c:v>
                </c:pt>
              </c:strCache>
            </c:strRef>
          </c:cat>
          <c:val>
            <c:numRef>
              <c:f>'Pivot Report'!$B$43:$B$45</c:f>
              <c:numCache>
                <c:formatCode>General</c:formatCode>
                <c:ptCount val="2"/>
                <c:pt idx="0">
                  <c:v>269</c:v>
                </c:pt>
                <c:pt idx="1">
                  <c:v>244</c:v>
                </c:pt>
              </c:numCache>
            </c:numRef>
          </c:val>
          <c:extLst>
            <c:ext xmlns:c16="http://schemas.microsoft.com/office/drawing/2014/chart" uri="{C3380CC4-5D6E-409C-BE32-E72D297353CC}">
              <c16:uniqueId val="{00000007-2ADC-4581-B8B3-5B5DC75EB41C}"/>
            </c:ext>
          </c:extLst>
        </c:ser>
        <c:ser>
          <c:idx val="1"/>
          <c:order val="1"/>
          <c:tx>
            <c:strRef>
              <c:f>'Pivot Report'!$C$42</c:f>
              <c:strCache>
                <c:ptCount val="1"/>
                <c:pt idx="0">
                  <c:v>Count of Patient Admission Flag2</c:v>
                </c:pt>
              </c:strCache>
            </c:strRef>
          </c:tx>
          <c:spPr>
            <a:solidFill>
              <a:schemeClr val="accent2"/>
            </a:solidFill>
            <a:ln>
              <a:noFill/>
            </a:ln>
            <a:effectLst/>
          </c:spPr>
          <c:invertIfNegative val="0"/>
          <c:cat>
            <c:strRef>
              <c:f>'Pivot Report'!$A$43:$A$45</c:f>
              <c:strCache>
                <c:ptCount val="2"/>
                <c:pt idx="0">
                  <c:v>Admitted</c:v>
                </c:pt>
                <c:pt idx="1">
                  <c:v>Not Admitted</c:v>
                </c:pt>
              </c:strCache>
            </c:strRef>
          </c:cat>
          <c:val>
            <c:numRef>
              <c:f>'Pivot Report'!$C$43:$C$45</c:f>
              <c:numCache>
                <c:formatCode>0.00%</c:formatCode>
                <c:ptCount val="2"/>
                <c:pt idx="0">
                  <c:v>0.52436647173489281</c:v>
                </c:pt>
                <c:pt idx="1">
                  <c:v>0.47563352826510719</c:v>
                </c:pt>
              </c:numCache>
            </c:numRef>
          </c:val>
          <c:extLst>
            <c:ext xmlns:c16="http://schemas.microsoft.com/office/drawing/2014/chart" uri="{C3380CC4-5D6E-409C-BE32-E72D297353CC}">
              <c16:uniqueId val="{00000008-2ADC-4581-B8B3-5B5DC75EB41C}"/>
            </c:ext>
          </c:extLst>
        </c:ser>
        <c:dLbls>
          <c:showLegendKey val="0"/>
          <c:showVal val="0"/>
          <c:showCatName val="0"/>
          <c:showSerName val="0"/>
          <c:showPercent val="0"/>
          <c:showBubbleSize val="0"/>
        </c:dLbls>
        <c:gapWidth val="182"/>
        <c:axId val="369743087"/>
        <c:axId val="1937427439"/>
      </c:barChart>
      <c:catAx>
        <c:axId val="369743087"/>
        <c:scaling>
          <c:orientation val="minMax"/>
        </c:scaling>
        <c:delete val="1"/>
        <c:axPos val="l"/>
        <c:numFmt formatCode="General" sourceLinked="1"/>
        <c:majorTickMark val="out"/>
        <c:minorTickMark val="none"/>
        <c:tickLblPos val="nextTo"/>
        <c:crossAx val="1937427439"/>
        <c:crosses val="autoZero"/>
        <c:auto val="1"/>
        <c:lblAlgn val="ctr"/>
        <c:lblOffset val="100"/>
        <c:noMultiLvlLbl val="0"/>
      </c:catAx>
      <c:valAx>
        <c:axId val="1937427439"/>
        <c:scaling>
          <c:orientation val="minMax"/>
        </c:scaling>
        <c:delete val="1"/>
        <c:axPos val="b"/>
        <c:numFmt formatCode="General" sourceLinked="1"/>
        <c:majorTickMark val="out"/>
        <c:minorTickMark val="none"/>
        <c:tickLblPos val="nextTo"/>
        <c:crossAx val="36974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02381150061761E-2"/>
          <c:y val="0.26101894344399512"/>
          <c:w val="0.97926828471990968"/>
          <c:h val="0.64698727684067714"/>
        </c:manualLayout>
      </c:layout>
      <c:areaChart>
        <c:grouping val="standard"/>
        <c:varyColors val="0"/>
        <c:ser>
          <c:idx val="0"/>
          <c:order val="0"/>
          <c:tx>
            <c:strRef>
              <c:f>'Pivot Report'!$D$6</c:f>
              <c:strCache>
                <c:ptCount val="1"/>
                <c:pt idx="0">
                  <c:v>Total</c:v>
                </c:pt>
              </c:strCache>
            </c:strRef>
          </c:tx>
          <c:spPr>
            <a:solidFill>
              <a:schemeClr val="accent1"/>
            </a:solidFill>
            <a:ln w="25400">
              <a:noFill/>
            </a:ln>
            <a:effectLst/>
          </c:spPr>
          <c:cat>
            <c:strRef>
              <c:f>'Pivot Report'!$C$7:$C$38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Report'!$D$7:$D$38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654F-46A0-8F18-51FD32B8B02B}"/>
            </c:ext>
          </c:extLst>
        </c:ser>
        <c:dLbls>
          <c:showLegendKey val="0"/>
          <c:showVal val="0"/>
          <c:showCatName val="0"/>
          <c:showSerName val="0"/>
          <c:showPercent val="0"/>
          <c:showBubbleSize val="0"/>
        </c:dLbls>
        <c:axId val="1793888255"/>
        <c:axId val="1759743215"/>
      </c:areaChart>
      <c:catAx>
        <c:axId val="1793888255"/>
        <c:scaling>
          <c:orientation val="minMax"/>
        </c:scaling>
        <c:delete val="1"/>
        <c:axPos val="b"/>
        <c:numFmt formatCode="General" sourceLinked="1"/>
        <c:majorTickMark val="out"/>
        <c:minorTickMark val="none"/>
        <c:tickLblPos val="nextTo"/>
        <c:crossAx val="1759743215"/>
        <c:crosses val="autoZero"/>
        <c:auto val="1"/>
        <c:lblAlgn val="ctr"/>
        <c:lblOffset val="100"/>
        <c:noMultiLvlLbl val="0"/>
      </c:catAx>
      <c:valAx>
        <c:axId val="1759743215"/>
        <c:scaling>
          <c:orientation val="minMax"/>
        </c:scaling>
        <c:delete val="1"/>
        <c:axPos val="l"/>
        <c:numFmt formatCode="General" sourceLinked="1"/>
        <c:majorTickMark val="none"/>
        <c:minorTickMark val="none"/>
        <c:tickLblPos val="nextTo"/>
        <c:crossAx val="1793888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23712635881252E-3"/>
          <c:y val="0.54449114611133331"/>
          <c:w val="0.94604791952789025"/>
          <c:h val="0.40250766756965234"/>
        </c:manualLayout>
      </c:layout>
      <c:areaChart>
        <c:grouping val="standard"/>
        <c:varyColors val="0"/>
        <c:ser>
          <c:idx val="0"/>
          <c:order val="0"/>
          <c:tx>
            <c:strRef>
              <c:f>'Pivot Report'!$G$6</c:f>
              <c:strCache>
                <c:ptCount val="1"/>
                <c:pt idx="0">
                  <c:v>Total</c:v>
                </c:pt>
              </c:strCache>
            </c:strRef>
          </c:tx>
          <c:spPr>
            <a:solidFill>
              <a:schemeClr val="accent1"/>
            </a:solidFill>
            <a:ln>
              <a:solidFill>
                <a:schemeClr val="bg1"/>
              </a:solidFill>
            </a:ln>
            <a:effectLst/>
          </c:spPr>
          <c:cat>
            <c:strRef>
              <c:f>'Pivot Report'!$F$7:$F$38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Report'!$G$7:$G$38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A226-4FA0-AF15-113F569F2763}"/>
            </c:ext>
          </c:extLst>
        </c:ser>
        <c:dLbls>
          <c:showLegendKey val="0"/>
          <c:showVal val="0"/>
          <c:showCatName val="0"/>
          <c:showSerName val="0"/>
          <c:showPercent val="0"/>
          <c:showBubbleSize val="0"/>
        </c:dLbls>
        <c:axId val="1615630399"/>
        <c:axId val="1434992943"/>
      </c:areaChart>
      <c:catAx>
        <c:axId val="1615630399"/>
        <c:scaling>
          <c:orientation val="minMax"/>
        </c:scaling>
        <c:delete val="1"/>
        <c:axPos val="b"/>
        <c:numFmt formatCode="General" sourceLinked="1"/>
        <c:majorTickMark val="out"/>
        <c:minorTickMark val="none"/>
        <c:tickLblPos val="nextTo"/>
        <c:crossAx val="1434992943"/>
        <c:crosses val="autoZero"/>
        <c:auto val="1"/>
        <c:lblAlgn val="ctr"/>
        <c:lblOffset val="100"/>
        <c:noMultiLvlLbl val="0"/>
      </c:catAx>
      <c:valAx>
        <c:axId val="1434992943"/>
        <c:scaling>
          <c:orientation val="minMax"/>
        </c:scaling>
        <c:delete val="1"/>
        <c:axPos val="l"/>
        <c:numFmt formatCode="0.00" sourceLinked="1"/>
        <c:majorTickMark val="none"/>
        <c:minorTickMark val="none"/>
        <c:tickLblPos val="nextTo"/>
        <c:crossAx val="1615630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Report!PivotTable9</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53858826824385E-2"/>
          <c:y val="0"/>
          <c:w val="0.95435352013855101"/>
          <c:h val="1"/>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Report'!$J$7:$J$38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A2D7-4BE3-98BC-BB0A0132AC1D}"/>
            </c:ext>
          </c:extLst>
        </c:ser>
        <c:dLbls>
          <c:showLegendKey val="0"/>
          <c:showVal val="0"/>
          <c:showCatName val="0"/>
          <c:showSerName val="0"/>
          <c:showPercent val="0"/>
          <c:showBubbleSize val="0"/>
        </c:dLbls>
        <c:axId val="1649244223"/>
        <c:axId val="1937487439"/>
      </c:areaChart>
      <c:catAx>
        <c:axId val="1649244223"/>
        <c:scaling>
          <c:orientation val="minMax"/>
        </c:scaling>
        <c:delete val="1"/>
        <c:axPos val="b"/>
        <c:numFmt formatCode="General" sourceLinked="1"/>
        <c:majorTickMark val="out"/>
        <c:minorTickMark val="none"/>
        <c:tickLblPos val="nextTo"/>
        <c:crossAx val="1937487439"/>
        <c:crosses val="autoZero"/>
        <c:auto val="1"/>
        <c:lblAlgn val="ctr"/>
        <c:lblOffset val="100"/>
        <c:noMultiLvlLbl val="0"/>
      </c:catAx>
      <c:valAx>
        <c:axId val="1937487439"/>
        <c:scaling>
          <c:orientation val="minMax"/>
        </c:scaling>
        <c:delete val="1"/>
        <c:axPos val="l"/>
        <c:numFmt formatCode="0.00" sourceLinked="1"/>
        <c:majorTickMark val="none"/>
        <c:minorTickMark val="none"/>
        <c:tickLblPos val="nextTo"/>
        <c:crossAx val="164924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99458374553519E-2"/>
          <c:y val="6.4741201884642205E-2"/>
          <c:w val="0.9232245929626699"/>
          <c:h val="0.71648789780748756"/>
        </c:manualLayout>
      </c:layout>
      <c:barChart>
        <c:barDir val="col"/>
        <c:grouping val="clustered"/>
        <c:varyColors val="0"/>
        <c:ser>
          <c:idx val="0"/>
          <c:order val="0"/>
          <c:tx>
            <c:strRef>
              <c:f>'Pivot Report'!$B$57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0-09</c:v>
                </c:pt>
                <c:pt idx="1">
                  <c:v>10-19</c:v>
                </c:pt>
                <c:pt idx="2">
                  <c:v>20-29</c:v>
                </c:pt>
                <c:pt idx="3">
                  <c:v>30-39</c:v>
                </c:pt>
                <c:pt idx="4">
                  <c:v>40-49</c:v>
                </c:pt>
                <c:pt idx="5">
                  <c:v>50-59</c:v>
                </c:pt>
                <c:pt idx="6">
                  <c:v>60-69</c:v>
                </c:pt>
                <c:pt idx="7">
                  <c:v>70-79</c:v>
                </c:pt>
              </c:strCache>
            </c:strRef>
          </c:cat>
          <c:val>
            <c:numRef>
              <c:f>'Pivot Report'!$B$58:$B$66</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30C8-4863-B29A-BDBC6A80FAD0}"/>
            </c:ext>
          </c:extLst>
        </c:ser>
        <c:dLbls>
          <c:showLegendKey val="0"/>
          <c:showVal val="0"/>
          <c:showCatName val="0"/>
          <c:showSerName val="0"/>
          <c:showPercent val="0"/>
          <c:showBubbleSize val="0"/>
        </c:dLbls>
        <c:gapWidth val="219"/>
        <c:overlap val="-27"/>
        <c:axId val="1332930047"/>
        <c:axId val="26341968"/>
      </c:barChart>
      <c:catAx>
        <c:axId val="133293004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41968"/>
        <c:crosses val="autoZero"/>
        <c:auto val="1"/>
        <c:lblAlgn val="ctr"/>
        <c:lblOffset val="100"/>
        <c:noMultiLvlLbl val="0"/>
      </c:catAx>
      <c:valAx>
        <c:axId val="26341968"/>
        <c:scaling>
          <c:orientation val="minMax"/>
        </c:scaling>
        <c:delete val="1"/>
        <c:axPos val="l"/>
        <c:numFmt formatCode="General" sourceLinked="1"/>
        <c:majorTickMark val="out"/>
        <c:minorTickMark val="none"/>
        <c:tickLblPos val="nextTo"/>
        <c:crossAx val="133293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Report!PivotTable7</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401963102919865E-2"/>
              <c:y val="-0.29774912460070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
              <c:y val="3.02541899735591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835293555863986"/>
                  <c:h val="0.20736550474565202"/>
                </c:manualLayout>
              </c15:layout>
            </c:ext>
          </c:extLst>
        </c:dLbl>
      </c:pivotFmt>
    </c:pivotFmts>
    <c:plotArea>
      <c:layout/>
      <c:pieChart>
        <c:varyColors val="1"/>
        <c:ser>
          <c:idx val="0"/>
          <c:order val="0"/>
          <c:tx>
            <c:strRef>
              <c:f>'Pivot Report'!$B$71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3B-4377-A90C-B164B9D73D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3B-4377-A90C-B164B9D73DCB}"/>
              </c:ext>
            </c:extLst>
          </c:dPt>
          <c:dLbls>
            <c:dLbl>
              <c:idx val="0"/>
              <c:layout>
                <c:manualLayout>
                  <c:x val="-2.401963102919865E-2"/>
                  <c:y val="-0.2977491246007067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3B-4377-A90C-B164B9D73DCB}"/>
                </c:ext>
              </c:extLst>
            </c:dLbl>
            <c:dLbl>
              <c:idx val="1"/>
              <c:layout>
                <c:manualLayout>
                  <c:x val="0"/>
                  <c:y val="3.02541899735591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835293555863986"/>
                      <c:h val="0.20736550474565202"/>
                    </c:manualLayout>
                  </c15:layout>
                </c:ext>
                <c:ext xmlns:c16="http://schemas.microsoft.com/office/drawing/2014/chart" uri="{C3380CC4-5D6E-409C-BE32-E72D297353CC}">
                  <c16:uniqueId val="{00000003-CC3B-4377-A90C-B164B9D73D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General</c:formatCode>
                <c:ptCount val="2"/>
                <c:pt idx="0">
                  <c:v>316</c:v>
                </c:pt>
                <c:pt idx="1">
                  <c:v>197</c:v>
                </c:pt>
              </c:numCache>
            </c:numRef>
          </c:val>
          <c:extLst>
            <c:ext xmlns:c16="http://schemas.microsoft.com/office/drawing/2014/chart" uri="{C3380CC4-5D6E-409C-BE32-E72D297353CC}">
              <c16:uniqueId val="{00000008-A89E-4B16-87D7-063CD37AA3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Report!PivotTable8</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6CC"/>
          </a:solidFill>
          <a:ln w="19050">
            <a:solidFill>
              <a:schemeClr val="lt1"/>
            </a:solidFill>
          </a:ln>
          <a:effectLst>
            <a:innerShdw blurRad="114300">
              <a:schemeClr val="accent1"/>
            </a:innerShdw>
          </a:effectLst>
        </c:spPr>
        <c:dLbl>
          <c:idx val="0"/>
          <c:layout>
            <c:manualLayout>
              <c:x val="8.3868748710187735E-2"/>
              <c:y val="-0.272962301112114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99CCFF"/>
          </a:solidFill>
          <a:ln w="19050">
            <a:solidFill>
              <a:schemeClr val="lt1"/>
            </a:solidFill>
          </a:ln>
          <a:effectLst>
            <a:innerShdw blurRad="114300">
              <a:schemeClr val="accent1"/>
            </a:innerShdw>
          </a:effectLst>
        </c:spPr>
        <c:dLbl>
          <c:idx val="0"/>
          <c:layout>
            <c:manualLayout>
              <c:x val="-4.8923436747609551E-2"/>
              <c:y val="-0.272962301112114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6.9206290221593594E-2"/>
          <c:y val="0.13236845571853217"/>
          <c:w val="0.41595999920685806"/>
          <c:h val="0.76763617069288337"/>
        </c:manualLayout>
      </c:layout>
      <c:doughnutChart>
        <c:varyColors val="1"/>
        <c:ser>
          <c:idx val="0"/>
          <c:order val="0"/>
          <c:tx>
            <c:strRef>
              <c:f>'Pivot Report'!$B$79</c:f>
              <c:strCache>
                <c:ptCount val="1"/>
                <c:pt idx="0">
                  <c:v>Total</c:v>
                </c:pt>
              </c:strCache>
            </c:strRef>
          </c:tx>
          <c:dPt>
            <c:idx val="0"/>
            <c:bubble3D val="0"/>
            <c:spPr>
              <a:solidFill>
                <a:srgbClr val="FF66CC"/>
              </a:solidFill>
              <a:ln w="19050">
                <a:solidFill>
                  <a:schemeClr val="lt1"/>
                </a:solidFill>
              </a:ln>
              <a:effectLst>
                <a:innerShdw blurRad="114300">
                  <a:schemeClr val="accent1"/>
                </a:innerShdw>
              </a:effectLst>
            </c:spPr>
            <c:extLst>
              <c:ext xmlns:c16="http://schemas.microsoft.com/office/drawing/2014/chart" uri="{C3380CC4-5D6E-409C-BE32-E72D297353CC}">
                <c16:uniqueId val="{00000001-B2A0-4A4E-8235-2A04914E4909}"/>
              </c:ext>
            </c:extLst>
          </c:dPt>
          <c:dPt>
            <c:idx val="1"/>
            <c:bubble3D val="0"/>
            <c:spPr>
              <a:solidFill>
                <a:srgbClr val="99CCFF"/>
              </a:solidFill>
              <a:ln w="19050">
                <a:solidFill>
                  <a:schemeClr val="lt1"/>
                </a:solidFill>
              </a:ln>
              <a:effectLst>
                <a:innerShdw blurRad="114300">
                  <a:schemeClr val="accent2"/>
                </a:innerShdw>
              </a:effectLst>
            </c:spPr>
            <c:extLst>
              <c:ext xmlns:c16="http://schemas.microsoft.com/office/drawing/2014/chart" uri="{C3380CC4-5D6E-409C-BE32-E72D297353CC}">
                <c16:uniqueId val="{00000003-B2A0-4A4E-8235-2A04914E4909}"/>
              </c:ext>
            </c:extLst>
          </c:dPt>
          <c:dLbls>
            <c:dLbl>
              <c:idx val="0"/>
              <c:layout>
                <c:manualLayout>
                  <c:x val="8.3868748710187735E-2"/>
                  <c:y val="-0.272962301112114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A0-4A4E-8235-2A04914E4909}"/>
                </c:ext>
              </c:extLst>
            </c:dLbl>
            <c:dLbl>
              <c:idx val="1"/>
              <c:layout>
                <c:manualLayout>
                  <c:x val="-4.8923436747609551E-2"/>
                  <c:y val="-0.2729623011121141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A0-4A4E-8235-2A04914E490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Report'!$A$80:$A$82</c:f>
              <c:strCache>
                <c:ptCount val="2"/>
                <c:pt idx="0">
                  <c:v>Female</c:v>
                </c:pt>
                <c:pt idx="1">
                  <c:v>Male</c:v>
                </c:pt>
              </c:strCache>
            </c:strRef>
          </c:cat>
          <c:val>
            <c:numRef>
              <c:f>'Pivot Report'!$B$80:$B$82</c:f>
              <c:numCache>
                <c:formatCode>General</c:formatCode>
                <c:ptCount val="2"/>
                <c:pt idx="0">
                  <c:v>241</c:v>
                </c:pt>
                <c:pt idx="1">
                  <c:v>272</c:v>
                </c:pt>
              </c:numCache>
            </c:numRef>
          </c:val>
          <c:extLst>
            <c:ext xmlns:c16="http://schemas.microsoft.com/office/drawing/2014/chart" uri="{C3380CC4-5D6E-409C-BE32-E72D297353CC}">
              <c16:uniqueId val="{00000008-9CF5-4339-B3A6-0F6359A2101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Report!PivotTable10</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592876327724967"/>
              <c:y val="1.0844454235762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7757981894935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20368015889588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7690191092472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18758183577813E-2"/>
              <c:y val="-1.028039276060079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752604512590849E-2"/>
              <c:y val="-1.028039276060079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91918578540207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764996109835478E-2"/>
              <c:y val="-5.140196380300397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8240802950515"/>
          <c:y val="2.7111135589406761E-2"/>
          <c:w val="0.66936835676431639"/>
          <c:h val="0.83879718778538725"/>
        </c:manualLayout>
      </c:layout>
      <c:barChart>
        <c:barDir val="bar"/>
        <c:grouping val="stacked"/>
        <c:varyColors val="0"/>
        <c:ser>
          <c:idx val="0"/>
          <c:order val="0"/>
          <c:tx>
            <c:strRef>
              <c:f>'Pivot Report'!$B$86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5F79-4FF3-9500-B7F236C2F57F}"/>
              </c:ext>
            </c:extLst>
          </c:dPt>
          <c:dPt>
            <c:idx val="1"/>
            <c:invertIfNegative val="0"/>
            <c:bubble3D val="0"/>
            <c:extLst>
              <c:ext xmlns:c16="http://schemas.microsoft.com/office/drawing/2014/chart" uri="{C3380CC4-5D6E-409C-BE32-E72D297353CC}">
                <c16:uniqueId val="{00000001-5F79-4FF3-9500-B7F236C2F57F}"/>
              </c:ext>
            </c:extLst>
          </c:dPt>
          <c:dPt>
            <c:idx val="2"/>
            <c:invertIfNegative val="0"/>
            <c:bubble3D val="0"/>
            <c:extLst>
              <c:ext xmlns:c16="http://schemas.microsoft.com/office/drawing/2014/chart" uri="{C3380CC4-5D6E-409C-BE32-E72D297353CC}">
                <c16:uniqueId val="{00000002-5F79-4FF3-9500-B7F236C2F57F}"/>
              </c:ext>
            </c:extLst>
          </c:dPt>
          <c:dPt>
            <c:idx val="3"/>
            <c:invertIfNegative val="0"/>
            <c:bubble3D val="0"/>
            <c:extLst>
              <c:ext xmlns:c16="http://schemas.microsoft.com/office/drawing/2014/chart" uri="{C3380CC4-5D6E-409C-BE32-E72D297353CC}">
                <c16:uniqueId val="{00000003-5F79-4FF3-9500-B7F236C2F57F}"/>
              </c:ext>
            </c:extLst>
          </c:dPt>
          <c:dPt>
            <c:idx val="4"/>
            <c:invertIfNegative val="0"/>
            <c:bubble3D val="0"/>
            <c:extLst>
              <c:ext xmlns:c16="http://schemas.microsoft.com/office/drawing/2014/chart" uri="{C3380CC4-5D6E-409C-BE32-E72D297353CC}">
                <c16:uniqueId val="{00000004-5F79-4FF3-9500-B7F236C2F57F}"/>
              </c:ext>
            </c:extLst>
          </c:dPt>
          <c:dPt>
            <c:idx val="5"/>
            <c:invertIfNegative val="0"/>
            <c:bubble3D val="0"/>
            <c:extLst>
              <c:ext xmlns:c16="http://schemas.microsoft.com/office/drawing/2014/chart" uri="{C3380CC4-5D6E-409C-BE32-E72D297353CC}">
                <c16:uniqueId val="{00000005-5F79-4FF3-9500-B7F236C2F57F}"/>
              </c:ext>
            </c:extLst>
          </c:dPt>
          <c:dPt>
            <c:idx val="6"/>
            <c:invertIfNegative val="0"/>
            <c:bubble3D val="0"/>
            <c:extLst>
              <c:ext xmlns:c16="http://schemas.microsoft.com/office/drawing/2014/chart" uri="{C3380CC4-5D6E-409C-BE32-E72D297353CC}">
                <c16:uniqueId val="{00000006-5F79-4FF3-9500-B7F236C2F57F}"/>
              </c:ext>
            </c:extLst>
          </c:dPt>
          <c:dPt>
            <c:idx val="7"/>
            <c:invertIfNegative val="0"/>
            <c:bubble3D val="0"/>
            <c:extLst>
              <c:ext xmlns:c16="http://schemas.microsoft.com/office/drawing/2014/chart" uri="{C3380CC4-5D6E-409C-BE32-E72D297353CC}">
                <c16:uniqueId val="{00000007-5F79-4FF3-9500-B7F236C2F57F}"/>
              </c:ext>
            </c:extLst>
          </c:dPt>
          <c:dLbls>
            <c:dLbl>
              <c:idx val="0"/>
              <c:layout>
                <c:manualLayout>
                  <c:x val="3.919185785402078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F79-4FF3-9500-B7F236C2F57F}"/>
                </c:ext>
              </c:extLst>
            </c:dLbl>
            <c:dLbl>
              <c:idx val="1"/>
              <c:layout>
                <c:manualLayout>
                  <c:x val="2.0752604512590849E-2"/>
                  <c:y val="-1.0280392760600795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79-4FF3-9500-B7F236C2F57F}"/>
                </c:ext>
              </c:extLst>
            </c:dLbl>
            <c:dLbl>
              <c:idx val="2"/>
              <c:layout>
                <c:manualLayout>
                  <c:x val="3.518758183577813E-2"/>
                  <c:y val="-1.0280392760600795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79-4FF3-9500-B7F236C2F57F}"/>
                </c:ext>
              </c:extLst>
            </c:dLbl>
            <c:dLbl>
              <c:idx val="3"/>
              <c:layout>
                <c:manualLayout>
                  <c:x val="3.1764996109835478E-2"/>
                  <c:y val="-5.14019638030039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79-4FF3-9500-B7F236C2F57F}"/>
                </c:ext>
              </c:extLst>
            </c:dLbl>
            <c:dLbl>
              <c:idx val="4"/>
              <c:layout>
                <c:manualLayout>
                  <c:x val="3.576901910924720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79-4FF3-9500-B7F236C2F57F}"/>
                </c:ext>
              </c:extLst>
            </c:dLbl>
            <c:dLbl>
              <c:idx val="5"/>
              <c:layout>
                <c:manualLayout>
                  <c:x val="8.020368015889588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79-4FF3-9500-B7F236C2F57F}"/>
                </c:ext>
              </c:extLst>
            </c:dLbl>
            <c:dLbl>
              <c:idx val="6"/>
              <c:layout>
                <c:manualLayout>
                  <c:x val="0.1777579818949350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79-4FF3-9500-B7F236C2F57F}"/>
                </c:ext>
              </c:extLst>
            </c:dLbl>
            <c:dLbl>
              <c:idx val="7"/>
              <c:layout>
                <c:manualLayout>
                  <c:x val="0.3592876327724967"/>
                  <c:y val="1.084445423576269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79-4FF3-9500-B7F236C2F5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Report'!$A$87:$A$95</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Report'!$B$87:$B$95</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C-22CB-460F-98C6-4DC34766510D}"/>
            </c:ext>
          </c:extLst>
        </c:ser>
        <c:dLbls>
          <c:dLblPos val="inEnd"/>
          <c:showLegendKey val="0"/>
          <c:showVal val="1"/>
          <c:showCatName val="0"/>
          <c:showSerName val="0"/>
          <c:showPercent val="0"/>
          <c:showBubbleSize val="0"/>
        </c:dLbls>
        <c:gapWidth val="150"/>
        <c:overlap val="100"/>
        <c:axId val="1265438959"/>
        <c:axId val="326414063"/>
      </c:barChart>
      <c:catAx>
        <c:axId val="126543895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6414063"/>
        <c:crosses val="autoZero"/>
        <c:auto val="1"/>
        <c:lblAlgn val="ctr"/>
        <c:lblOffset val="100"/>
        <c:noMultiLvlLbl val="0"/>
      </c:catAx>
      <c:valAx>
        <c:axId val="326414063"/>
        <c:scaling>
          <c:orientation val="minMax"/>
        </c:scaling>
        <c:delete val="1"/>
        <c:axPos val="b"/>
        <c:numFmt formatCode="General" sourceLinked="1"/>
        <c:majorTickMark val="out"/>
        <c:minorTickMark val="none"/>
        <c:tickLblPos val="nextTo"/>
        <c:crossAx val="126543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Report!PivotTable4</c:name>
    <c:fmtId val="5"/>
  </c:pivotSource>
  <c:chart>
    <c:autoTitleDeleted val="1"/>
    <c:pivotFmts>
      <c:pivotFmt>
        <c:idx val="0"/>
      </c:pivotFmt>
      <c:pivotFmt>
        <c:idx val="1"/>
      </c:pivotFmt>
      <c:pivotFmt>
        <c:idx val="2"/>
      </c:pivotFmt>
      <c:pivotFmt>
        <c:idx val="3"/>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17945383615082E-2"/>
          <c:y val="0.12989470792895075"/>
          <c:w val="0.86530538689165803"/>
          <c:h val="0.4848942501373375"/>
        </c:manualLayout>
      </c:layout>
      <c:areaChart>
        <c:grouping val="standard"/>
        <c:varyColors val="0"/>
        <c:ser>
          <c:idx val="0"/>
          <c:order val="0"/>
          <c:tx>
            <c:strRef>
              <c:f>'Pivot Report'!$D$6</c:f>
              <c:strCache>
                <c:ptCount val="1"/>
                <c:pt idx="0">
                  <c:v>Total</c:v>
                </c:pt>
              </c:strCache>
            </c:strRef>
          </c:tx>
          <c:spPr>
            <a:solidFill>
              <a:schemeClr val="accent1"/>
            </a:solidFill>
            <a:ln w="25400">
              <a:noFill/>
            </a:ln>
            <a:effectLst/>
          </c:spPr>
          <c:cat>
            <c:strRef>
              <c:f>'Pivot Report'!$C$7:$C$38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Report'!$D$7:$D$38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43BC-4F9A-9986-1E7FC6129BF4}"/>
            </c:ext>
          </c:extLst>
        </c:ser>
        <c:dLbls>
          <c:showLegendKey val="0"/>
          <c:showVal val="0"/>
          <c:showCatName val="0"/>
          <c:showSerName val="0"/>
          <c:showPercent val="0"/>
          <c:showBubbleSize val="0"/>
        </c:dLbls>
        <c:axId val="1793888255"/>
        <c:axId val="1759743215"/>
      </c:areaChart>
      <c:catAx>
        <c:axId val="1793888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43215"/>
        <c:crosses val="autoZero"/>
        <c:auto val="1"/>
        <c:lblAlgn val="ctr"/>
        <c:lblOffset val="100"/>
        <c:noMultiLvlLbl val="0"/>
      </c:catAx>
      <c:valAx>
        <c:axId val="175974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888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Report!PivotTable3</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23712635881252E-3"/>
          <c:y val="0.54449114611133331"/>
          <c:w val="0.94604791952789025"/>
          <c:h val="0.40250766756965234"/>
        </c:manualLayout>
      </c:layout>
      <c:areaChart>
        <c:grouping val="standard"/>
        <c:varyColors val="0"/>
        <c:ser>
          <c:idx val="0"/>
          <c:order val="0"/>
          <c:tx>
            <c:strRef>
              <c:f>'Pivot Report'!$G$6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cat>
            <c:strRef>
              <c:f>'Pivot Report'!$F$7:$F$38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Report'!$G$7:$G$38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D6F3-44FE-A159-B5872751F2B6}"/>
            </c:ext>
          </c:extLst>
        </c:ser>
        <c:dLbls>
          <c:showLegendKey val="0"/>
          <c:showVal val="0"/>
          <c:showCatName val="0"/>
          <c:showSerName val="0"/>
          <c:showPercent val="0"/>
          <c:showBubbleSize val="0"/>
        </c:dLbls>
        <c:axId val="1615630399"/>
        <c:axId val="1434992943"/>
      </c:areaChart>
      <c:catAx>
        <c:axId val="16156303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4992943"/>
        <c:crosses val="autoZero"/>
        <c:auto val="1"/>
        <c:lblAlgn val="ctr"/>
        <c:lblOffset val="100"/>
        <c:noMultiLvlLbl val="0"/>
      </c:catAx>
      <c:valAx>
        <c:axId val="1434992943"/>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15630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Report!PivotTable9</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cat>
            <c:strRef>
              <c:f>'Pivot Report'!$I$7:$I$38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Report'!$J$7:$J$38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E8D7-4CBA-A0CE-3086A5ED9208}"/>
            </c:ext>
          </c:extLst>
        </c:ser>
        <c:dLbls>
          <c:showLegendKey val="0"/>
          <c:showVal val="0"/>
          <c:showCatName val="0"/>
          <c:showSerName val="0"/>
          <c:showPercent val="0"/>
          <c:showBubbleSize val="0"/>
        </c:dLbls>
        <c:axId val="1649244223"/>
        <c:axId val="1937487439"/>
      </c:areaChart>
      <c:catAx>
        <c:axId val="164924422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7487439"/>
        <c:crosses val="autoZero"/>
        <c:auto val="1"/>
        <c:lblAlgn val="ctr"/>
        <c:lblOffset val="100"/>
        <c:noMultiLvlLbl val="0"/>
      </c:catAx>
      <c:valAx>
        <c:axId val="193748743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924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hyperlink" Target="#'Satisfaction score daily trends'!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hyperlink" Target="https://www.pngall.com/hospital-png" TargetMode="External"/><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hyperlink" Target="#'Average wait time daily trend'!A1"/><Relationship Id="rId5" Type="http://schemas.openxmlformats.org/officeDocument/2006/relationships/image" Target="../media/image4.png"/><Relationship Id="rId15" Type="http://schemas.openxmlformats.org/officeDocument/2006/relationships/image" Target="../media/image8.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svg"/><Relationship Id="rId9" Type="http://schemas.openxmlformats.org/officeDocument/2006/relationships/hyperlink" Target="#'Daily Emergency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5" Type="http://schemas.openxmlformats.org/officeDocument/2006/relationships/chart" Target="../charts/chart11.xml"/><Relationship Id="rId4" Type="http://schemas.openxmlformats.org/officeDocument/2006/relationships/hyperlink" Target="#'Satisfaction score daily trends'!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37669</xdr:colOff>
      <xdr:row>49</xdr:row>
      <xdr:rowOff>21526</xdr:rowOff>
    </xdr:from>
    <xdr:to>
      <xdr:col>3</xdr:col>
      <xdr:colOff>1646694</xdr:colOff>
      <xdr:row>50</xdr:row>
      <xdr:rowOff>145296</xdr:rowOff>
    </xdr:to>
    <xdr:graphicFrame macro="">
      <xdr:nvGraphicFramePr>
        <xdr:cNvPr id="2" name="Chart 4">
          <a:extLst>
            <a:ext uri="{FF2B5EF4-FFF2-40B4-BE49-F238E27FC236}">
              <a16:creationId xmlns:a16="http://schemas.microsoft.com/office/drawing/2014/main" id="{FB954278-9F3E-6C70-99BD-1A6DF1371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325761</xdr:colOff>
      <xdr:row>3</xdr:row>
      <xdr:rowOff>87763</xdr:rowOff>
    </xdr:from>
    <xdr:to>
      <xdr:col>3</xdr:col>
      <xdr:colOff>320761</xdr:colOff>
      <xdr:row>7</xdr:row>
      <xdr:rowOff>103187</xdr:rowOff>
    </xdr:to>
    <xdr:sp macro="" textlink="">
      <xdr:nvSpPr>
        <xdr:cNvPr id="8" name="Rectangle: Rounded Corners 7">
          <a:extLst>
            <a:ext uri="{FF2B5EF4-FFF2-40B4-BE49-F238E27FC236}">
              <a16:creationId xmlns:a16="http://schemas.microsoft.com/office/drawing/2014/main" id="{9A1E60D2-84D7-C11A-5C8B-2793F148146F}"/>
            </a:ext>
          </a:extLst>
        </xdr:cNvPr>
        <xdr:cNvSpPr/>
      </xdr:nvSpPr>
      <xdr:spPr>
        <a:xfrm>
          <a:off x="938349" y="648057"/>
          <a:ext cx="1220177" cy="762483"/>
        </a:xfrm>
        <a:custGeom>
          <a:avLst/>
          <a:gdLst>
            <a:gd name="csX0" fmla="*/ 0 w 1220177"/>
            <a:gd name="csY0" fmla="*/ 127083 h 762483"/>
            <a:gd name="csX1" fmla="*/ 82259 w 1220177"/>
            <a:gd name="csY1" fmla="*/ 0 h 762483"/>
            <a:gd name="csX2" fmla="*/ 1122976 w 1220177"/>
            <a:gd name="csY2" fmla="*/ 0 h 762483"/>
            <a:gd name="csX3" fmla="*/ 1220177 w 1220177"/>
            <a:gd name="csY3" fmla="*/ 127083 h 762483"/>
            <a:gd name="csX4" fmla="*/ 1220177 w 1220177"/>
            <a:gd name="csY4" fmla="*/ 635400 h 762483"/>
            <a:gd name="csX5" fmla="*/ 1145389 w 1220177"/>
            <a:gd name="csY5" fmla="*/ 762483 h 762483"/>
            <a:gd name="csX6" fmla="*/ 89730 w 1220177"/>
            <a:gd name="csY6" fmla="*/ 762483 h 762483"/>
            <a:gd name="csX7" fmla="*/ 0 w 1220177"/>
            <a:gd name="csY7" fmla="*/ 635400 h 762483"/>
            <a:gd name="csX8" fmla="*/ 0 w 1220177"/>
            <a:gd name="csY8" fmla="*/ 127083 h 76248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20177" h="762483">
              <a:moveTo>
                <a:pt x="0" y="127083"/>
              </a:moveTo>
              <a:cubicBezTo>
                <a:pt x="0" y="56897"/>
                <a:pt x="12073" y="0"/>
                <a:pt x="82259" y="0"/>
              </a:cubicBezTo>
              <a:lnTo>
                <a:pt x="1122976" y="0"/>
              </a:lnTo>
              <a:cubicBezTo>
                <a:pt x="1215574" y="0"/>
                <a:pt x="1220177" y="56897"/>
                <a:pt x="1220177" y="127083"/>
              </a:cubicBezTo>
              <a:lnTo>
                <a:pt x="1220177" y="635400"/>
              </a:lnTo>
              <a:cubicBezTo>
                <a:pt x="1220177" y="705586"/>
                <a:pt x="1215575" y="762483"/>
                <a:pt x="1145389" y="762483"/>
              </a:cubicBezTo>
              <a:lnTo>
                <a:pt x="89730" y="762483"/>
              </a:lnTo>
              <a:cubicBezTo>
                <a:pt x="19544" y="762483"/>
                <a:pt x="0" y="705586"/>
                <a:pt x="0" y="635400"/>
              </a:cubicBezTo>
              <a:lnTo>
                <a:pt x="0" y="127083"/>
              </a:lnTo>
              <a:close/>
            </a:path>
          </a:pathLst>
        </a:custGeom>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a:p>
      </xdr:txBody>
    </xdr:sp>
    <xdr:clientData/>
  </xdr:twoCellAnchor>
  <xdr:twoCellAnchor editAs="absolute">
    <xdr:from>
      <xdr:col>0</xdr:col>
      <xdr:colOff>52367</xdr:colOff>
      <xdr:row>0</xdr:row>
      <xdr:rowOff>57748</xdr:rowOff>
    </xdr:from>
    <xdr:to>
      <xdr:col>4</xdr:col>
      <xdr:colOff>498512</xdr:colOff>
      <xdr:row>3</xdr:row>
      <xdr:rowOff>3069</xdr:rowOff>
    </xdr:to>
    <xdr:sp macro="" textlink="">
      <xdr:nvSpPr>
        <xdr:cNvPr id="3" name="Rectangle: Rounded Corners 2">
          <a:extLst>
            <a:ext uri="{FF2B5EF4-FFF2-40B4-BE49-F238E27FC236}">
              <a16:creationId xmlns:a16="http://schemas.microsoft.com/office/drawing/2014/main" id="{B7CBFB9C-CA74-FD4F-BD61-281B13EA6A47}"/>
            </a:ext>
          </a:extLst>
        </xdr:cNvPr>
        <xdr:cNvSpPr/>
      </xdr:nvSpPr>
      <xdr:spPr>
        <a:xfrm>
          <a:off x="52367" y="57748"/>
          <a:ext cx="3257525" cy="49348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72869</xdr:colOff>
      <xdr:row>0</xdr:row>
      <xdr:rowOff>70342</xdr:rowOff>
    </xdr:from>
    <xdr:to>
      <xdr:col>7</xdr:col>
      <xdr:colOff>149865</xdr:colOff>
      <xdr:row>3</xdr:row>
      <xdr:rowOff>10411</xdr:rowOff>
    </xdr:to>
    <xdr:sp macro="" textlink="">
      <xdr:nvSpPr>
        <xdr:cNvPr id="4" name="Rectangle: Rounded Corners 3">
          <a:extLst>
            <a:ext uri="{FF2B5EF4-FFF2-40B4-BE49-F238E27FC236}">
              <a16:creationId xmlns:a16="http://schemas.microsoft.com/office/drawing/2014/main" id="{6813F52E-8E90-F11E-A210-F72A0E34404F}"/>
            </a:ext>
          </a:extLst>
        </xdr:cNvPr>
        <xdr:cNvSpPr/>
      </xdr:nvSpPr>
      <xdr:spPr>
        <a:xfrm>
          <a:off x="3456066" y="70342"/>
          <a:ext cx="1513553" cy="502200"/>
        </a:xfrm>
        <a:custGeom>
          <a:avLst/>
          <a:gdLst>
            <a:gd name="csX0" fmla="*/ 411 w 1334630"/>
            <a:gd name="csY0" fmla="*/ 83932 h 503582"/>
            <a:gd name="csX1" fmla="*/ 39519 w 1334630"/>
            <a:gd name="csY1" fmla="*/ 0 h 503582"/>
            <a:gd name="csX2" fmla="*/ 1278361 w 1334630"/>
            <a:gd name="csY2" fmla="*/ 0 h 503582"/>
            <a:gd name="csX3" fmla="*/ 1332411 w 1334630"/>
            <a:gd name="csY3" fmla="*/ 83932 h 503582"/>
            <a:gd name="csX4" fmla="*/ 1332411 w 1334630"/>
            <a:gd name="csY4" fmla="*/ 419650 h 503582"/>
            <a:gd name="csX5" fmla="*/ 1300774 w 1334630"/>
            <a:gd name="csY5" fmla="*/ 496112 h 503582"/>
            <a:gd name="csX6" fmla="*/ 69401 w 1334630"/>
            <a:gd name="csY6" fmla="*/ 503582 h 503582"/>
            <a:gd name="csX7" fmla="*/ 411 w 1334630"/>
            <a:gd name="csY7" fmla="*/ 419650 h 503582"/>
            <a:gd name="csX8" fmla="*/ 411 w 1334630"/>
            <a:gd name="csY8" fmla="*/ 83932 h 50358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334630" h="503582">
              <a:moveTo>
                <a:pt x="411" y="83932"/>
              </a:moveTo>
              <a:cubicBezTo>
                <a:pt x="411" y="37578"/>
                <a:pt x="-6835" y="0"/>
                <a:pt x="39519" y="0"/>
              </a:cubicBezTo>
              <a:lnTo>
                <a:pt x="1278361" y="0"/>
              </a:lnTo>
              <a:cubicBezTo>
                <a:pt x="1324715" y="0"/>
                <a:pt x="1332411" y="37578"/>
                <a:pt x="1332411" y="83932"/>
              </a:cubicBezTo>
              <a:lnTo>
                <a:pt x="1332411" y="419650"/>
              </a:lnTo>
              <a:cubicBezTo>
                <a:pt x="1332411" y="466004"/>
                <a:pt x="1347128" y="496112"/>
                <a:pt x="1300774" y="496112"/>
              </a:cubicBezTo>
              <a:lnTo>
                <a:pt x="69401" y="503582"/>
              </a:lnTo>
              <a:cubicBezTo>
                <a:pt x="23047" y="503582"/>
                <a:pt x="411" y="466004"/>
                <a:pt x="411" y="419650"/>
              </a:cubicBezTo>
              <a:lnTo>
                <a:pt x="411" y="83932"/>
              </a:lnTo>
              <a:close/>
            </a:path>
          </a:pathLst>
        </a:cu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260000</xdr:colOff>
      <xdr:row>0</xdr:row>
      <xdr:rowOff>90340</xdr:rowOff>
    </xdr:from>
    <xdr:to>
      <xdr:col>9</xdr:col>
      <xdr:colOff>544999</xdr:colOff>
      <xdr:row>6</xdr:row>
      <xdr:rowOff>0</xdr:rowOff>
    </xdr:to>
    <xdr:sp macro="" textlink="">
      <xdr:nvSpPr>
        <xdr:cNvPr id="5" name="Rectangle: Rounded Corners 4">
          <a:extLst>
            <a:ext uri="{FF2B5EF4-FFF2-40B4-BE49-F238E27FC236}">
              <a16:creationId xmlns:a16="http://schemas.microsoft.com/office/drawing/2014/main" id="{F7E09E14-2CC5-9C56-76E0-28B2F02B8FAB}"/>
            </a:ext>
          </a:extLst>
        </xdr:cNvPr>
        <xdr:cNvSpPr/>
      </xdr:nvSpPr>
      <xdr:spPr>
        <a:xfrm>
          <a:off x="4805000" y="90340"/>
          <a:ext cx="1819999" cy="10196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590762</xdr:colOff>
      <xdr:row>0</xdr:row>
      <xdr:rowOff>89960</xdr:rowOff>
    </xdr:from>
    <xdr:to>
      <xdr:col>12</xdr:col>
      <xdr:colOff>374999</xdr:colOff>
      <xdr:row>5</xdr:row>
      <xdr:rowOff>175000</xdr:rowOff>
    </xdr:to>
    <xdr:sp macro="" textlink="">
      <xdr:nvSpPr>
        <xdr:cNvPr id="6" name="Rectangle: Rounded Corners 5">
          <a:extLst>
            <a:ext uri="{FF2B5EF4-FFF2-40B4-BE49-F238E27FC236}">
              <a16:creationId xmlns:a16="http://schemas.microsoft.com/office/drawing/2014/main" id="{746F99C7-969C-858A-7606-FEF1743A545B}"/>
            </a:ext>
          </a:extLst>
        </xdr:cNvPr>
        <xdr:cNvSpPr/>
      </xdr:nvSpPr>
      <xdr:spPr>
        <a:xfrm>
          <a:off x="6670762" y="89960"/>
          <a:ext cx="1944237" cy="10100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86474</xdr:colOff>
      <xdr:row>3</xdr:row>
      <xdr:rowOff>61114</xdr:rowOff>
    </xdr:from>
    <xdr:to>
      <xdr:col>1</xdr:col>
      <xdr:colOff>231770</xdr:colOff>
      <xdr:row>18</xdr:row>
      <xdr:rowOff>160574</xdr:rowOff>
    </xdr:to>
    <xdr:sp macro="" textlink="">
      <xdr:nvSpPr>
        <xdr:cNvPr id="7" name="Rectangle: Rounded Corners 6">
          <a:extLst>
            <a:ext uri="{FF2B5EF4-FFF2-40B4-BE49-F238E27FC236}">
              <a16:creationId xmlns:a16="http://schemas.microsoft.com/office/drawing/2014/main" id="{45DD7ABC-939A-2B3D-8C79-F1B9F9306EB1}"/>
            </a:ext>
          </a:extLst>
        </xdr:cNvPr>
        <xdr:cNvSpPr/>
      </xdr:nvSpPr>
      <xdr:spPr>
        <a:xfrm>
          <a:off x="86474" y="608528"/>
          <a:ext cx="758399" cy="283652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356651</xdr:colOff>
      <xdr:row>3</xdr:row>
      <xdr:rowOff>97477</xdr:rowOff>
    </xdr:from>
    <xdr:to>
      <xdr:col>5</xdr:col>
      <xdr:colOff>218252</xdr:colOff>
      <xdr:row>7</xdr:row>
      <xdr:rowOff>104097</xdr:rowOff>
    </xdr:to>
    <xdr:sp macro="" textlink="">
      <xdr:nvSpPr>
        <xdr:cNvPr id="9" name="Rectangle: Rounded Corners 8">
          <a:extLst>
            <a:ext uri="{FF2B5EF4-FFF2-40B4-BE49-F238E27FC236}">
              <a16:creationId xmlns:a16="http://schemas.microsoft.com/office/drawing/2014/main" id="{B0B70A44-04B5-373E-0E85-F9A80103B2DF}"/>
            </a:ext>
          </a:extLst>
        </xdr:cNvPr>
        <xdr:cNvSpPr/>
      </xdr:nvSpPr>
      <xdr:spPr>
        <a:xfrm>
          <a:off x="2194416" y="657771"/>
          <a:ext cx="1146542" cy="753679"/>
        </a:xfrm>
        <a:prstGeom prst="roundRect">
          <a:avLst/>
        </a:prstGeom>
        <a:solidFill>
          <a:schemeClr val="lt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a:p>
      </xdr:txBody>
    </xdr:sp>
    <xdr:clientData/>
  </xdr:twoCellAnchor>
  <xdr:twoCellAnchor>
    <xdr:from>
      <xdr:col>5</xdr:col>
      <xdr:colOff>269795</xdr:colOff>
      <xdr:row>3</xdr:row>
      <xdr:rowOff>101048</xdr:rowOff>
    </xdr:from>
    <xdr:to>
      <xdr:col>7</xdr:col>
      <xdr:colOff>184795</xdr:colOff>
      <xdr:row>7</xdr:row>
      <xdr:rowOff>105410</xdr:rowOff>
    </xdr:to>
    <xdr:sp macro="" textlink="">
      <xdr:nvSpPr>
        <xdr:cNvPr id="10" name="Rectangle: Rounded Corners 9">
          <a:extLst>
            <a:ext uri="{FF2B5EF4-FFF2-40B4-BE49-F238E27FC236}">
              <a16:creationId xmlns:a16="http://schemas.microsoft.com/office/drawing/2014/main" id="{126D1AAA-A155-642A-E184-CFE4EF4DA958}"/>
            </a:ext>
          </a:extLst>
        </xdr:cNvPr>
        <xdr:cNvSpPr/>
      </xdr:nvSpPr>
      <xdr:spPr>
        <a:xfrm>
          <a:off x="3377131" y="647564"/>
          <a:ext cx="1341148" cy="73305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a:p>
      </xdr:txBody>
    </xdr:sp>
    <xdr:clientData/>
  </xdr:twoCellAnchor>
  <xdr:twoCellAnchor>
    <xdr:from>
      <xdr:col>1</xdr:col>
      <xdr:colOff>323345</xdr:colOff>
      <xdr:row>7</xdr:row>
      <xdr:rowOff>141670</xdr:rowOff>
    </xdr:from>
    <xdr:to>
      <xdr:col>7</xdr:col>
      <xdr:colOff>206609</xdr:colOff>
      <xdr:row>11</xdr:row>
      <xdr:rowOff>32135</xdr:rowOff>
    </xdr:to>
    <xdr:sp macro="" textlink="">
      <xdr:nvSpPr>
        <xdr:cNvPr id="16" name="Rectangle: Rounded Corners 15">
          <a:extLst>
            <a:ext uri="{FF2B5EF4-FFF2-40B4-BE49-F238E27FC236}">
              <a16:creationId xmlns:a16="http://schemas.microsoft.com/office/drawing/2014/main" id="{D879DFCB-F679-67D7-C9A0-65186239CE79}"/>
            </a:ext>
          </a:extLst>
        </xdr:cNvPr>
        <xdr:cNvSpPr/>
      </xdr:nvSpPr>
      <xdr:spPr>
        <a:xfrm>
          <a:off x="929806" y="1440209"/>
          <a:ext cx="3800286" cy="63248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a:p>
      </xdr:txBody>
    </xdr:sp>
    <xdr:clientData/>
  </xdr:twoCellAnchor>
  <xdr:twoCellAnchor>
    <xdr:from>
      <xdr:col>1</xdr:col>
      <xdr:colOff>326819</xdr:colOff>
      <xdr:row>11</xdr:row>
      <xdr:rowOff>81271</xdr:rowOff>
    </xdr:from>
    <xdr:to>
      <xdr:col>7</xdr:col>
      <xdr:colOff>242750</xdr:colOff>
      <xdr:row>19</xdr:row>
      <xdr:rowOff>42076</xdr:rowOff>
    </xdr:to>
    <xdr:sp macro="" textlink="">
      <xdr:nvSpPr>
        <xdr:cNvPr id="17" name="Rectangle: Rounded Corners 16">
          <a:extLst>
            <a:ext uri="{FF2B5EF4-FFF2-40B4-BE49-F238E27FC236}">
              <a16:creationId xmlns:a16="http://schemas.microsoft.com/office/drawing/2014/main" id="{96EC1A01-31C2-FCFE-075A-1D3EC3430C6C}"/>
            </a:ext>
          </a:extLst>
        </xdr:cNvPr>
        <xdr:cNvSpPr/>
      </xdr:nvSpPr>
      <xdr:spPr>
        <a:xfrm>
          <a:off x="933280" y="2121833"/>
          <a:ext cx="3832953" cy="14448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a:p>
      </xdr:txBody>
    </xdr:sp>
    <xdr:clientData/>
  </xdr:twoCellAnchor>
  <xdr:twoCellAnchor>
    <xdr:from>
      <xdr:col>7</xdr:col>
      <xdr:colOff>268295</xdr:colOff>
      <xdr:row>6</xdr:row>
      <xdr:rowOff>71501</xdr:rowOff>
    </xdr:from>
    <xdr:to>
      <xdr:col>12</xdr:col>
      <xdr:colOff>433294</xdr:colOff>
      <xdr:row>19</xdr:row>
      <xdr:rowOff>59765</xdr:rowOff>
    </xdr:to>
    <xdr:sp macro="" textlink="">
      <xdr:nvSpPr>
        <xdr:cNvPr id="24" name="Rectangle: Rounded Corners 23">
          <a:extLst>
            <a:ext uri="{FF2B5EF4-FFF2-40B4-BE49-F238E27FC236}">
              <a16:creationId xmlns:a16="http://schemas.microsoft.com/office/drawing/2014/main" id="{F2D210BA-EE05-A44C-6069-FF351897E996}"/>
            </a:ext>
          </a:extLst>
        </xdr:cNvPr>
        <xdr:cNvSpPr/>
      </xdr:nvSpPr>
      <xdr:spPr>
        <a:xfrm>
          <a:off x="4825354" y="1192089"/>
          <a:ext cx="3870411" cy="2416205"/>
        </a:xfrm>
        <a:prstGeom prst="roundRect">
          <a:avLst/>
        </a:prstGeom>
        <a:solidFill>
          <a:schemeClr val="lt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1</xdr:col>
      <xdr:colOff>192320</xdr:colOff>
      <xdr:row>0</xdr:row>
      <xdr:rowOff>104810</xdr:rowOff>
    </xdr:from>
    <xdr:to>
      <xdr:col>4</xdr:col>
      <xdr:colOff>378413</xdr:colOff>
      <xdr:row>1</xdr:row>
      <xdr:rowOff>127000</xdr:rowOff>
    </xdr:to>
    <xdr:sp macro="" textlink="">
      <xdr:nvSpPr>
        <xdr:cNvPr id="2" name="TextBox 1">
          <a:extLst>
            <a:ext uri="{FF2B5EF4-FFF2-40B4-BE49-F238E27FC236}">
              <a16:creationId xmlns:a16="http://schemas.microsoft.com/office/drawing/2014/main" id="{EB9A160F-8AC9-BE81-8C86-652E74D9198A}"/>
            </a:ext>
          </a:extLst>
        </xdr:cNvPr>
        <xdr:cNvSpPr txBox="1"/>
      </xdr:nvSpPr>
      <xdr:spPr>
        <a:xfrm>
          <a:off x="801920" y="104810"/>
          <a:ext cx="2392653" cy="206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Hospital Emergency Room Dashboard</a:t>
          </a:r>
        </a:p>
      </xdr:txBody>
    </xdr:sp>
    <xdr:clientData/>
  </xdr:twoCellAnchor>
  <xdr:twoCellAnchor editAs="oneCell">
    <xdr:from>
      <xdr:col>0</xdr:col>
      <xdr:colOff>133640</xdr:colOff>
      <xdr:row>0</xdr:row>
      <xdr:rowOff>55259</xdr:rowOff>
    </xdr:from>
    <xdr:to>
      <xdr:col>0</xdr:col>
      <xdr:colOff>570048</xdr:colOff>
      <xdr:row>2</xdr:row>
      <xdr:rowOff>135894</xdr:rowOff>
    </xdr:to>
    <xdr:pic>
      <xdr:nvPicPr>
        <xdr:cNvPr id="15" name="Picture 14">
          <a:extLst>
            <a:ext uri="{FF2B5EF4-FFF2-40B4-BE49-F238E27FC236}">
              <a16:creationId xmlns:a16="http://schemas.microsoft.com/office/drawing/2014/main" id="{81AC4EF7-0B56-1E2A-91CE-01FD90BC8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33640" y="55259"/>
          <a:ext cx="436408" cy="454164"/>
        </a:xfrm>
        <a:prstGeom prst="rect">
          <a:avLst/>
        </a:prstGeom>
      </xdr:spPr>
    </xdr:pic>
    <xdr:clientData/>
  </xdr:twoCellAnchor>
  <xdr:oneCellAnchor>
    <xdr:from>
      <xdr:col>2</xdr:col>
      <xdr:colOff>147216</xdr:colOff>
      <xdr:row>1</xdr:row>
      <xdr:rowOff>117039</xdr:rowOff>
    </xdr:from>
    <xdr:ext cx="1031146" cy="285458"/>
    <xdr:sp macro="" textlink="">
      <xdr:nvSpPr>
        <xdr:cNvPr id="19" name="TextBox 18">
          <a:extLst>
            <a:ext uri="{FF2B5EF4-FFF2-40B4-BE49-F238E27FC236}">
              <a16:creationId xmlns:a16="http://schemas.microsoft.com/office/drawing/2014/main" id="{C51A18AB-E030-4487-B8D7-9F135D6A6AA0}"/>
            </a:ext>
          </a:extLst>
        </xdr:cNvPr>
        <xdr:cNvSpPr txBox="1"/>
      </xdr:nvSpPr>
      <xdr:spPr>
        <a:xfrm>
          <a:off x="1366416" y="301189"/>
          <a:ext cx="1031146" cy="285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t>Monthly</a:t>
          </a:r>
          <a:r>
            <a:rPr lang="en-IN" sz="900" baseline="0"/>
            <a:t> Report</a:t>
          </a:r>
          <a:endParaRPr lang="en-IN" sz="900"/>
        </a:p>
      </xdr:txBody>
    </xdr:sp>
    <xdr:clientData/>
  </xdr:oneCellAnchor>
  <xdr:oneCellAnchor>
    <xdr:from>
      <xdr:col>1</xdr:col>
      <xdr:colOff>499395</xdr:colOff>
      <xdr:row>5</xdr:row>
      <xdr:rowOff>18777</xdr:rowOff>
    </xdr:from>
    <xdr:ext cx="903612" cy="164404"/>
    <xdr:sp macro="" textlink="">
      <xdr:nvSpPr>
        <xdr:cNvPr id="20" name="TextBox 19">
          <a:extLst>
            <a:ext uri="{FF2B5EF4-FFF2-40B4-BE49-F238E27FC236}">
              <a16:creationId xmlns:a16="http://schemas.microsoft.com/office/drawing/2014/main" id="{9AFE96A8-4E6A-1A13-D2B6-2E3B0CC1450E}"/>
            </a:ext>
          </a:extLst>
        </xdr:cNvPr>
        <xdr:cNvSpPr txBox="1"/>
      </xdr:nvSpPr>
      <xdr:spPr>
        <a:xfrm>
          <a:off x="1108370" y="929638"/>
          <a:ext cx="903612" cy="16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ctr"/>
          <a:r>
            <a:rPr lang="en-IN" sz="1050"/>
            <a:t>  No.of</a:t>
          </a:r>
          <a:r>
            <a:rPr lang="en-IN" sz="1050" baseline="0"/>
            <a:t> Patient</a:t>
          </a:r>
        </a:p>
      </xdr:txBody>
    </xdr:sp>
    <xdr:clientData/>
  </xdr:oneCellAnchor>
  <xdr:oneCellAnchor>
    <xdr:from>
      <xdr:col>2</xdr:col>
      <xdr:colOff>164732</xdr:colOff>
      <xdr:row>4</xdr:row>
      <xdr:rowOff>18775</xdr:rowOff>
    </xdr:from>
    <xdr:ext cx="319326" cy="168602"/>
    <xdr:sp macro="" textlink="'Pivot Report'!A6">
      <xdr:nvSpPr>
        <xdr:cNvPr id="25" name="TextBox 24">
          <a:extLst>
            <a:ext uri="{FF2B5EF4-FFF2-40B4-BE49-F238E27FC236}">
              <a16:creationId xmlns:a16="http://schemas.microsoft.com/office/drawing/2014/main" id="{FC452B01-AC84-3641-45E8-0328BF70C964}"/>
            </a:ext>
          </a:extLst>
        </xdr:cNvPr>
        <xdr:cNvSpPr txBox="1"/>
      </xdr:nvSpPr>
      <xdr:spPr>
        <a:xfrm>
          <a:off x="1382683" y="747464"/>
          <a:ext cx="319326" cy="168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D03C0E09-AFBA-48EA-A1AF-B389B5FA308C}" type="TxLink">
            <a:rPr lang="en-US" sz="1100" b="0" i="0" u="none" strike="noStrike">
              <a:solidFill>
                <a:srgbClr val="000000"/>
              </a:solidFill>
              <a:latin typeface="Calibri"/>
              <a:ea typeface="Calibri"/>
              <a:cs typeface="Calibri"/>
            </a:rPr>
            <a:pPr/>
            <a:t>513</a:t>
          </a:fld>
          <a:endParaRPr lang="en-IN" sz="1100"/>
        </a:p>
      </xdr:txBody>
    </xdr:sp>
    <xdr:clientData/>
  </xdr:oneCellAnchor>
  <xdr:oneCellAnchor>
    <xdr:from>
      <xdr:col>3</xdr:col>
      <xdr:colOff>420007</xdr:colOff>
      <xdr:row>5</xdr:row>
      <xdr:rowOff>16175</xdr:rowOff>
    </xdr:from>
    <xdr:ext cx="1150286" cy="164404"/>
    <xdr:sp macro="" textlink="">
      <xdr:nvSpPr>
        <xdr:cNvPr id="11" name="TextBox 10">
          <a:extLst>
            <a:ext uri="{FF2B5EF4-FFF2-40B4-BE49-F238E27FC236}">
              <a16:creationId xmlns:a16="http://schemas.microsoft.com/office/drawing/2014/main" id="{0A974C3E-D538-2A25-8D54-6317A6ED72C8}"/>
            </a:ext>
          </a:extLst>
        </xdr:cNvPr>
        <xdr:cNvSpPr txBox="1"/>
      </xdr:nvSpPr>
      <xdr:spPr>
        <a:xfrm>
          <a:off x="2257772" y="949999"/>
          <a:ext cx="1150286" cy="16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l"/>
          <a:r>
            <a:rPr lang="en-IN" sz="1050" baseline="0"/>
            <a:t>Average Wait Time</a:t>
          </a:r>
        </a:p>
      </xdr:txBody>
    </xdr:sp>
    <xdr:clientData/>
  </xdr:oneCellAnchor>
  <xdr:oneCellAnchor>
    <xdr:from>
      <xdr:col>5</xdr:col>
      <xdr:colOff>275860</xdr:colOff>
      <xdr:row>5</xdr:row>
      <xdr:rowOff>29186</xdr:rowOff>
    </xdr:from>
    <xdr:ext cx="1353280" cy="246674"/>
    <xdr:sp macro="" textlink="">
      <xdr:nvSpPr>
        <xdr:cNvPr id="12" name="TextBox 11">
          <a:extLst>
            <a:ext uri="{FF2B5EF4-FFF2-40B4-BE49-F238E27FC236}">
              <a16:creationId xmlns:a16="http://schemas.microsoft.com/office/drawing/2014/main" id="{F7058727-A5C3-3488-6EB7-7B80FB6E7AE9}"/>
            </a:ext>
          </a:extLst>
        </xdr:cNvPr>
        <xdr:cNvSpPr txBox="1"/>
      </xdr:nvSpPr>
      <xdr:spPr>
        <a:xfrm>
          <a:off x="3383196" y="940047"/>
          <a:ext cx="1353280" cy="246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en-IN" sz="1000" baseline="0"/>
            <a:t>Patient Satisfaction Score</a:t>
          </a:r>
        </a:p>
      </xdr:txBody>
    </xdr:sp>
    <xdr:clientData/>
  </xdr:oneCellAnchor>
  <xdr:oneCellAnchor>
    <xdr:from>
      <xdr:col>4</xdr:col>
      <xdr:colOff>178657</xdr:colOff>
      <xdr:row>3</xdr:row>
      <xdr:rowOff>168189</xdr:rowOff>
    </xdr:from>
    <xdr:ext cx="396000" cy="173805"/>
    <xdr:sp macro="" textlink="'Pivot Report'!A9">
      <xdr:nvSpPr>
        <xdr:cNvPr id="13" name="TextBox 12">
          <a:extLst>
            <a:ext uri="{FF2B5EF4-FFF2-40B4-BE49-F238E27FC236}">
              <a16:creationId xmlns:a16="http://schemas.microsoft.com/office/drawing/2014/main" id="{BD7FCB03-C05B-F1D3-D93E-86659980F63F}"/>
            </a:ext>
          </a:extLst>
        </xdr:cNvPr>
        <xdr:cNvSpPr txBox="1"/>
      </xdr:nvSpPr>
      <xdr:spPr>
        <a:xfrm>
          <a:off x="2629010" y="728483"/>
          <a:ext cx="396000" cy="173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C6E3BBA3-9F43-4078-9C60-DDDFF126EA2E}" type="TxLink">
            <a:rPr lang="en-US" sz="1100" b="0" i="0" u="none" strike="noStrike">
              <a:solidFill>
                <a:srgbClr val="000000"/>
              </a:solidFill>
              <a:latin typeface="Calibri"/>
              <a:ea typeface="Calibri"/>
              <a:cs typeface="Calibri"/>
            </a:rPr>
            <a:pPr/>
            <a:t>36.32</a:t>
          </a:fld>
          <a:endParaRPr lang="en-IN" sz="1100"/>
        </a:p>
      </xdr:txBody>
    </xdr:sp>
    <xdr:clientData/>
  </xdr:oneCellAnchor>
  <xdr:oneCellAnchor>
    <xdr:from>
      <xdr:col>5</xdr:col>
      <xdr:colOff>725174</xdr:colOff>
      <xdr:row>4</xdr:row>
      <xdr:rowOff>34391</xdr:rowOff>
    </xdr:from>
    <xdr:ext cx="404293" cy="173805"/>
    <xdr:sp macro="" textlink="'Pivot Report'!A12">
      <xdr:nvSpPr>
        <xdr:cNvPr id="23" name="TextBox 22">
          <a:extLst>
            <a:ext uri="{FF2B5EF4-FFF2-40B4-BE49-F238E27FC236}">
              <a16:creationId xmlns:a16="http://schemas.microsoft.com/office/drawing/2014/main" id="{14E99F42-B5DC-760A-84A6-CAA96994650D}"/>
            </a:ext>
          </a:extLst>
        </xdr:cNvPr>
        <xdr:cNvSpPr txBox="1"/>
      </xdr:nvSpPr>
      <xdr:spPr>
        <a:xfrm>
          <a:off x="3832510" y="763080"/>
          <a:ext cx="404293" cy="173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73650C2F-FF22-4938-B4D4-256306D3CD3B}" type="TxLink">
            <a:rPr lang="en-US" sz="1100" b="0" i="0" u="none" strike="noStrike">
              <a:solidFill>
                <a:srgbClr val="000000"/>
              </a:solidFill>
              <a:latin typeface="Calibri"/>
              <a:ea typeface="Calibri"/>
              <a:cs typeface="Calibri"/>
            </a:rPr>
            <a:pPr/>
            <a:t>4.96</a:t>
          </a:fld>
          <a:endParaRPr lang="en-IN" sz="1100"/>
        </a:p>
      </xdr:txBody>
    </xdr:sp>
    <xdr:clientData/>
  </xdr:oneCellAnchor>
  <xdr:twoCellAnchor editAs="oneCell">
    <xdr:from>
      <xdr:col>3</xdr:col>
      <xdr:colOff>52050</xdr:colOff>
      <xdr:row>3</xdr:row>
      <xdr:rowOff>135328</xdr:rowOff>
    </xdr:from>
    <xdr:to>
      <xdr:col>3</xdr:col>
      <xdr:colOff>286272</xdr:colOff>
      <xdr:row>5</xdr:row>
      <xdr:rowOff>5205</xdr:rowOff>
    </xdr:to>
    <xdr:pic>
      <xdr:nvPicPr>
        <xdr:cNvPr id="27" name="Graphic 26" descr="User with solid fill">
          <a:extLst>
            <a:ext uri="{FF2B5EF4-FFF2-40B4-BE49-F238E27FC236}">
              <a16:creationId xmlns:a16="http://schemas.microsoft.com/office/drawing/2014/main" id="{882AE508-D233-1745-9767-E1CDA0CAEE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78976" y="681844"/>
          <a:ext cx="234222" cy="234222"/>
        </a:xfrm>
        <a:prstGeom prst="rect">
          <a:avLst/>
        </a:prstGeom>
      </xdr:spPr>
    </xdr:pic>
    <xdr:clientData/>
  </xdr:twoCellAnchor>
  <xdr:twoCellAnchor editAs="oneCell">
    <xdr:from>
      <xdr:col>4</xdr:col>
      <xdr:colOff>666231</xdr:colOff>
      <xdr:row>3</xdr:row>
      <xdr:rowOff>135330</xdr:rowOff>
    </xdr:from>
    <xdr:to>
      <xdr:col>5</xdr:col>
      <xdr:colOff>192584</xdr:colOff>
      <xdr:row>4</xdr:row>
      <xdr:rowOff>150942</xdr:rowOff>
    </xdr:to>
    <xdr:pic>
      <xdr:nvPicPr>
        <xdr:cNvPr id="29" name="Graphic 28" descr="Hourglass Finished with solid fill">
          <a:extLst>
            <a:ext uri="{FF2B5EF4-FFF2-40B4-BE49-F238E27FC236}">
              <a16:creationId xmlns:a16="http://schemas.microsoft.com/office/drawing/2014/main" id="{13AA4A8A-E5C5-D013-B1E0-408588FF8D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02133" y="681846"/>
          <a:ext cx="197785" cy="197785"/>
        </a:xfrm>
        <a:prstGeom prst="rect">
          <a:avLst/>
        </a:prstGeom>
      </xdr:spPr>
    </xdr:pic>
    <xdr:clientData/>
  </xdr:twoCellAnchor>
  <xdr:twoCellAnchor editAs="oneCell">
    <xdr:from>
      <xdr:col>6</xdr:col>
      <xdr:colOff>546518</xdr:colOff>
      <xdr:row>3</xdr:row>
      <xdr:rowOff>135329</xdr:rowOff>
    </xdr:from>
    <xdr:to>
      <xdr:col>7</xdr:col>
      <xdr:colOff>114510</xdr:colOff>
      <xdr:row>4</xdr:row>
      <xdr:rowOff>130123</xdr:rowOff>
    </xdr:to>
    <xdr:pic>
      <xdr:nvPicPr>
        <xdr:cNvPr id="31" name="Graphic 30" descr="Checklist with solid fill">
          <a:extLst>
            <a:ext uri="{FF2B5EF4-FFF2-40B4-BE49-F238E27FC236}">
              <a16:creationId xmlns:a16="http://schemas.microsoft.com/office/drawing/2014/main" id="{736A4700-C931-9A7E-65BE-34B1F5789B5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71026" y="681845"/>
          <a:ext cx="176967" cy="176967"/>
        </a:xfrm>
        <a:prstGeom prst="rect">
          <a:avLst/>
        </a:prstGeom>
      </xdr:spPr>
    </xdr:pic>
    <xdr:clientData/>
  </xdr:twoCellAnchor>
  <xdr:twoCellAnchor editAs="oneCell">
    <xdr:from>
      <xdr:col>0</xdr:col>
      <xdr:colOff>81802</xdr:colOff>
      <xdr:row>3</xdr:row>
      <xdr:rowOff>47925</xdr:rowOff>
    </xdr:from>
    <xdr:to>
      <xdr:col>1</xdr:col>
      <xdr:colOff>237555</xdr:colOff>
      <xdr:row>19</xdr:row>
      <xdr:rowOff>35945</xdr:rowOff>
    </xdr:to>
    <mc:AlternateContent xmlns:mc="http://schemas.openxmlformats.org/markup-compatibility/2006" xmlns:a14="http://schemas.microsoft.com/office/drawing/2010/main">
      <mc:Choice Requires="a14">
        <xdr:graphicFrame macro="">
          <xdr:nvGraphicFramePr>
            <xdr:cNvPr id="14" name="Date (Month) 1">
              <a:extLst>
                <a:ext uri="{FF2B5EF4-FFF2-40B4-BE49-F238E27FC236}">
                  <a16:creationId xmlns:a16="http://schemas.microsoft.com/office/drawing/2014/main" id="{348720D8-E520-4C29-B4D7-1F56B153B62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1802" y="608219"/>
              <a:ext cx="768341" cy="2976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351118</xdr:colOff>
      <xdr:row>5</xdr:row>
      <xdr:rowOff>7470</xdr:rowOff>
    </xdr:from>
    <xdr:to>
      <xdr:col>3</xdr:col>
      <xdr:colOff>306295</xdr:colOff>
      <xdr:row>7</xdr:row>
      <xdr:rowOff>104588</xdr:rowOff>
    </xdr:to>
    <xdr:graphicFrame macro="">
      <xdr:nvGraphicFramePr>
        <xdr:cNvPr id="21" name="Chart 20">
          <a:hlinkClick xmlns:r="http://schemas.openxmlformats.org/officeDocument/2006/relationships" r:id="rId9"/>
          <a:extLst>
            <a:ext uri="{FF2B5EF4-FFF2-40B4-BE49-F238E27FC236}">
              <a16:creationId xmlns:a16="http://schemas.microsoft.com/office/drawing/2014/main" id="{6321B7F6-AB55-6D5C-004D-D57FBE06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403410</xdr:colOff>
      <xdr:row>4</xdr:row>
      <xdr:rowOff>52294</xdr:rowOff>
    </xdr:from>
    <xdr:to>
      <xdr:col>5</xdr:col>
      <xdr:colOff>231589</xdr:colOff>
      <xdr:row>7</xdr:row>
      <xdr:rowOff>97118</xdr:rowOff>
    </xdr:to>
    <xdr:graphicFrame macro="">
      <xdr:nvGraphicFramePr>
        <xdr:cNvPr id="22" name="Chart 21">
          <a:hlinkClick xmlns:r="http://schemas.openxmlformats.org/officeDocument/2006/relationships" r:id="rId11"/>
          <a:extLst>
            <a:ext uri="{FF2B5EF4-FFF2-40B4-BE49-F238E27FC236}">
              <a16:creationId xmlns:a16="http://schemas.microsoft.com/office/drawing/2014/main" id="{288A128C-37F7-4866-85CD-A2502E8DF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306294</xdr:colOff>
      <xdr:row>5</xdr:row>
      <xdr:rowOff>90000</xdr:rowOff>
    </xdr:from>
    <xdr:to>
      <xdr:col>7</xdr:col>
      <xdr:colOff>170000</xdr:colOff>
      <xdr:row>7</xdr:row>
      <xdr:rowOff>63150</xdr:rowOff>
    </xdr:to>
    <xdr:graphicFrame macro="">
      <xdr:nvGraphicFramePr>
        <xdr:cNvPr id="18" name="Chart 17">
          <a:hlinkClick xmlns:r="http://schemas.openxmlformats.org/officeDocument/2006/relationships" r:id="rId13"/>
          <a:extLst>
            <a:ext uri="{FF2B5EF4-FFF2-40B4-BE49-F238E27FC236}">
              <a16:creationId xmlns:a16="http://schemas.microsoft.com/office/drawing/2014/main" id="{56681259-DCA2-4F3B-94F3-2882D2727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353347</xdr:colOff>
          <xdr:row>7</xdr:row>
          <xdr:rowOff>179466</xdr:rowOff>
        </xdr:from>
        <xdr:to>
          <xdr:col>7</xdr:col>
          <xdr:colOff>189476</xdr:colOff>
          <xdr:row>11</xdr:row>
          <xdr:rowOff>43949</xdr:rowOff>
        </xdr:to>
        <xdr:pic>
          <xdr:nvPicPr>
            <xdr:cNvPr id="45" name="Picture 44">
              <a:extLst>
                <a:ext uri="{FF2B5EF4-FFF2-40B4-BE49-F238E27FC236}">
                  <a16:creationId xmlns:a16="http://schemas.microsoft.com/office/drawing/2014/main" id="{EFC01A82-9C41-5DDB-A3E1-181E4393D555}"/>
                </a:ext>
              </a:extLst>
            </xdr:cNvPr>
            <xdr:cNvPicPr>
              <a:picLocks noChangeAspect="1" noChangeArrowheads="1"/>
              <a:extLst>
                <a:ext uri="{84589F7E-364E-4C9E-8A38-B11213B215E9}">
                  <a14:cameraTool cellRange="'Pivot Report'!$A$49:$D$51" spid="_x0000_s2165"/>
                </a:ext>
              </a:extLst>
            </xdr:cNvPicPr>
          </xdr:nvPicPr>
          <xdr:blipFill>
            <a:blip xmlns:r="http://schemas.openxmlformats.org/officeDocument/2006/relationships" r:embed="rId15"/>
            <a:srcRect/>
            <a:stretch>
              <a:fillRect/>
            </a:stretch>
          </xdr:blipFill>
          <xdr:spPr bwMode="auto">
            <a:xfrm>
              <a:off x="962742" y="1469950"/>
              <a:ext cx="4137742" cy="60190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263989</xdr:colOff>
      <xdr:row>11</xdr:row>
      <xdr:rowOff>99887</xdr:rowOff>
    </xdr:from>
    <xdr:to>
      <xdr:col>7</xdr:col>
      <xdr:colOff>135563</xdr:colOff>
      <xdr:row>17</xdr:row>
      <xdr:rowOff>107022</xdr:rowOff>
    </xdr:to>
    <xdr:graphicFrame macro="">
      <xdr:nvGraphicFramePr>
        <xdr:cNvPr id="26" name="Chart 25">
          <a:extLst>
            <a:ext uri="{FF2B5EF4-FFF2-40B4-BE49-F238E27FC236}">
              <a16:creationId xmlns:a16="http://schemas.microsoft.com/office/drawing/2014/main" id="{B117088F-6EBA-4AA7-83A6-27AC62C2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3</xdr:col>
      <xdr:colOff>35630</xdr:colOff>
      <xdr:row>17</xdr:row>
      <xdr:rowOff>168608</xdr:rowOff>
    </xdr:from>
    <xdr:ext cx="1619651" cy="223808"/>
    <xdr:sp macro="" textlink="">
      <xdr:nvSpPr>
        <xdr:cNvPr id="30" name="TextBox 29">
          <a:extLst>
            <a:ext uri="{FF2B5EF4-FFF2-40B4-BE49-F238E27FC236}">
              <a16:creationId xmlns:a16="http://schemas.microsoft.com/office/drawing/2014/main" id="{46CBFED0-E85E-93EE-1EED-099E264B019C}"/>
            </a:ext>
          </a:extLst>
        </xdr:cNvPr>
        <xdr:cNvSpPr txBox="1"/>
      </xdr:nvSpPr>
      <xdr:spPr>
        <a:xfrm>
          <a:off x="1855012" y="3322204"/>
          <a:ext cx="1619651" cy="22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pPr algn="ctr"/>
          <a:r>
            <a:rPr lang="en-IN" sz="1050"/>
            <a:t>  No.of</a:t>
          </a:r>
          <a:r>
            <a:rPr lang="en-IN" sz="1050" baseline="0"/>
            <a:t> Patient by Age Group</a:t>
          </a:r>
        </a:p>
      </xdr:txBody>
    </xdr:sp>
    <xdr:clientData/>
  </xdr:oneCellAnchor>
  <xdr:twoCellAnchor>
    <xdr:from>
      <xdr:col>7</xdr:col>
      <xdr:colOff>273050</xdr:colOff>
      <xdr:row>0</xdr:row>
      <xdr:rowOff>21404</xdr:rowOff>
    </xdr:from>
    <xdr:to>
      <xdr:col>9</xdr:col>
      <xdr:colOff>488949</xdr:colOff>
      <xdr:row>5</xdr:row>
      <xdr:rowOff>49944</xdr:rowOff>
    </xdr:to>
    <xdr:graphicFrame macro="">
      <xdr:nvGraphicFramePr>
        <xdr:cNvPr id="32" name="Chart 31">
          <a:extLst>
            <a:ext uri="{FF2B5EF4-FFF2-40B4-BE49-F238E27FC236}">
              <a16:creationId xmlns:a16="http://schemas.microsoft.com/office/drawing/2014/main" id="{7BAD8E45-C13E-4124-B4F4-B691A4C0B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7</xdr:col>
      <xdr:colOff>349563</xdr:colOff>
      <xdr:row>4</xdr:row>
      <xdr:rowOff>154339</xdr:rowOff>
    </xdr:from>
    <xdr:ext cx="1662459" cy="164404"/>
    <xdr:sp macro="" textlink="">
      <xdr:nvSpPr>
        <xdr:cNvPr id="33" name="TextBox 32">
          <a:extLst>
            <a:ext uri="{FF2B5EF4-FFF2-40B4-BE49-F238E27FC236}">
              <a16:creationId xmlns:a16="http://schemas.microsoft.com/office/drawing/2014/main" id="{F78BEEEC-B5BE-8454-61B8-0FF14990A102}"/>
            </a:ext>
          </a:extLst>
        </xdr:cNvPr>
        <xdr:cNvSpPr txBox="1"/>
      </xdr:nvSpPr>
      <xdr:spPr>
        <a:xfrm>
          <a:off x="4873046" y="896361"/>
          <a:ext cx="1662459" cy="16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ctr"/>
          <a:r>
            <a:rPr lang="en-IN" sz="1050" baseline="0"/>
            <a:t>Patient attended within time</a:t>
          </a:r>
        </a:p>
      </xdr:txBody>
    </xdr:sp>
    <xdr:clientData/>
  </xdr:oneCellAnchor>
  <xdr:twoCellAnchor>
    <xdr:from>
      <xdr:col>9</xdr:col>
      <xdr:colOff>635000</xdr:colOff>
      <xdr:row>0</xdr:row>
      <xdr:rowOff>116268</xdr:rowOff>
    </xdr:from>
    <xdr:to>
      <xdr:col>12</xdr:col>
      <xdr:colOff>295141</xdr:colOff>
      <xdr:row>5</xdr:row>
      <xdr:rowOff>66843</xdr:rowOff>
    </xdr:to>
    <xdr:graphicFrame macro="">
      <xdr:nvGraphicFramePr>
        <xdr:cNvPr id="34" name="Chart 33">
          <a:extLst>
            <a:ext uri="{FF2B5EF4-FFF2-40B4-BE49-F238E27FC236}">
              <a16:creationId xmlns:a16="http://schemas.microsoft.com/office/drawing/2014/main" id="{83A302D8-8B9E-47AE-BA67-86B955F8F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9</xdr:col>
      <xdr:colOff>842211</xdr:colOff>
      <xdr:row>4</xdr:row>
      <xdr:rowOff>172513</xdr:rowOff>
    </xdr:from>
    <xdr:ext cx="1276007" cy="164404"/>
    <xdr:sp macro="" textlink="">
      <xdr:nvSpPr>
        <xdr:cNvPr id="35" name="TextBox 34">
          <a:extLst>
            <a:ext uri="{FF2B5EF4-FFF2-40B4-BE49-F238E27FC236}">
              <a16:creationId xmlns:a16="http://schemas.microsoft.com/office/drawing/2014/main" id="{CB749DDB-0606-7159-47EB-F8231C560848}"/>
            </a:ext>
          </a:extLst>
        </xdr:cNvPr>
        <xdr:cNvSpPr txBox="1"/>
      </xdr:nvSpPr>
      <xdr:spPr>
        <a:xfrm>
          <a:off x="6918158" y="921145"/>
          <a:ext cx="1276007" cy="16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ctr"/>
          <a:r>
            <a:rPr lang="en-IN" sz="1050"/>
            <a:t>  Gender wise Analysis</a:t>
          </a:r>
          <a:endParaRPr lang="en-IN" sz="1050" baseline="0"/>
        </a:p>
      </xdr:txBody>
    </xdr:sp>
    <xdr:clientData/>
  </xdr:oneCellAnchor>
  <xdr:twoCellAnchor>
    <xdr:from>
      <xdr:col>7</xdr:col>
      <xdr:colOff>240862</xdr:colOff>
      <xdr:row>6</xdr:row>
      <xdr:rowOff>65689</xdr:rowOff>
    </xdr:from>
    <xdr:to>
      <xdr:col>12</xdr:col>
      <xdr:colOff>328448</xdr:colOff>
      <xdr:row>19</xdr:row>
      <xdr:rowOff>35774</xdr:rowOff>
    </xdr:to>
    <xdr:graphicFrame macro="">
      <xdr:nvGraphicFramePr>
        <xdr:cNvPr id="36" name="Chart 35">
          <a:extLst>
            <a:ext uri="{FF2B5EF4-FFF2-40B4-BE49-F238E27FC236}">
              <a16:creationId xmlns:a16="http://schemas.microsoft.com/office/drawing/2014/main" id="{AE4EA11E-57A0-44F7-912B-299AD0E8B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8</xdr:col>
      <xdr:colOff>137896</xdr:colOff>
      <xdr:row>17</xdr:row>
      <xdr:rowOff>176236</xdr:rowOff>
    </xdr:from>
    <xdr:ext cx="2314517" cy="164404"/>
    <xdr:sp macro="" textlink="">
      <xdr:nvSpPr>
        <xdr:cNvPr id="37" name="TextBox 36">
          <a:extLst>
            <a:ext uri="{FF2B5EF4-FFF2-40B4-BE49-F238E27FC236}">
              <a16:creationId xmlns:a16="http://schemas.microsoft.com/office/drawing/2014/main" id="{FDF9B6E5-F4D1-04FA-C0FA-726F909285A0}"/>
            </a:ext>
          </a:extLst>
        </xdr:cNvPr>
        <xdr:cNvSpPr txBox="1"/>
      </xdr:nvSpPr>
      <xdr:spPr>
        <a:xfrm>
          <a:off x="5619333" y="3278247"/>
          <a:ext cx="2314517" cy="16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spAutoFit/>
        </a:bodyPr>
        <a:lstStyle/>
        <a:p>
          <a:pPr algn="ctr"/>
          <a:r>
            <a:rPr lang="en-IN" sz="1050" baseline="0"/>
            <a:t>No of Patient by Department Referral</a:t>
          </a:r>
        </a:p>
      </xdr:txBody>
    </xdr:sp>
    <xdr:clientData/>
  </xdr:oneCellAnchor>
  <xdr:twoCellAnchor editAs="oneCell">
    <xdr:from>
      <xdr:col>5</xdr:col>
      <xdr:colOff>62459</xdr:colOff>
      <xdr:row>0</xdr:row>
      <xdr:rowOff>52049</xdr:rowOff>
    </xdr:from>
    <xdr:to>
      <xdr:col>7</xdr:col>
      <xdr:colOff>183517</xdr:colOff>
      <xdr:row>3</xdr:row>
      <xdr:rowOff>20819</xdr:rowOff>
    </xdr:to>
    <mc:AlternateContent xmlns:mc="http://schemas.openxmlformats.org/markup-compatibility/2006" xmlns:a14="http://schemas.microsoft.com/office/drawing/2010/main">
      <mc:Choice Requires="a14">
        <xdr:graphicFrame macro="">
          <xdr:nvGraphicFramePr>
            <xdr:cNvPr id="44" name="Date (Year)">
              <a:extLst>
                <a:ext uri="{FF2B5EF4-FFF2-40B4-BE49-F238E27FC236}">
                  <a16:creationId xmlns:a16="http://schemas.microsoft.com/office/drawing/2014/main" id="{373E4BF9-0B6E-6360-4AB7-580334BAD45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02042" y="52049"/>
              <a:ext cx="1549808" cy="513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394724</xdr:colOff>
      <xdr:row>3</xdr:row>
      <xdr:rowOff>6215</xdr:rowOff>
    </xdr:from>
    <xdr:to>
      <xdr:col>14</xdr:col>
      <xdr:colOff>149903</xdr:colOff>
      <xdr:row>16</xdr:row>
      <xdr:rowOff>153170</xdr:rowOff>
    </xdr:to>
    <xdr:graphicFrame macro="">
      <xdr:nvGraphicFramePr>
        <xdr:cNvPr id="4" name="Chart 3">
          <a:extLst>
            <a:ext uri="{FF2B5EF4-FFF2-40B4-BE49-F238E27FC236}">
              <a16:creationId xmlns:a16="http://schemas.microsoft.com/office/drawing/2014/main" id="{D0E971A4-AB06-4111-8467-CD3BF6FE9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66146</xdr:colOff>
      <xdr:row>0</xdr:row>
      <xdr:rowOff>26458</xdr:rowOff>
    </xdr:from>
    <xdr:to>
      <xdr:col>0</xdr:col>
      <xdr:colOff>436563</xdr:colOff>
      <xdr:row>2</xdr:row>
      <xdr:rowOff>26458</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BBCBB1B5-3E74-A376-0C95-206B3954EA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146" y="26458"/>
          <a:ext cx="370417" cy="370417"/>
        </a:xfrm>
        <a:prstGeom prst="rect">
          <a:avLst/>
        </a:prstGeom>
      </xdr:spPr>
    </xdr:pic>
    <xdr:clientData/>
  </xdr:twoCellAnchor>
  <xdr:twoCellAnchor>
    <xdr:from>
      <xdr:col>2</xdr:col>
      <xdr:colOff>562240</xdr:colOff>
      <xdr:row>18</xdr:row>
      <xdr:rowOff>13229</xdr:rowOff>
    </xdr:from>
    <xdr:to>
      <xdr:col>11</xdr:col>
      <xdr:colOff>125677</xdr:colOff>
      <xdr:row>19</xdr:row>
      <xdr:rowOff>145521</xdr:rowOff>
    </xdr:to>
    <xdr:sp macro="" textlink="">
      <xdr:nvSpPr>
        <xdr:cNvPr id="6" name="TextBox 5">
          <a:extLst>
            <a:ext uri="{FF2B5EF4-FFF2-40B4-BE49-F238E27FC236}">
              <a16:creationId xmlns:a16="http://schemas.microsoft.com/office/drawing/2014/main" id="{41406F9E-0AE3-E54B-26AE-8FC301AD1005}"/>
            </a:ext>
          </a:extLst>
        </xdr:cNvPr>
        <xdr:cNvSpPr txBox="1"/>
      </xdr:nvSpPr>
      <xdr:spPr>
        <a:xfrm>
          <a:off x="1779323" y="3346979"/>
          <a:ext cx="5040312"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Daily trend with an area sparkline to spot patterns</a:t>
          </a:r>
          <a:r>
            <a:rPr lang="en-IN" sz="1100" baseline="0"/>
            <a:t> like busy days or seasonal trends.</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101600</xdr:colOff>
      <xdr:row>2</xdr:row>
      <xdr:rowOff>50800</xdr:rowOff>
    </xdr:from>
    <xdr:to>
      <xdr:col>11</xdr:col>
      <xdr:colOff>374650</xdr:colOff>
      <xdr:row>15</xdr:row>
      <xdr:rowOff>133350</xdr:rowOff>
    </xdr:to>
    <xdr:graphicFrame macro="">
      <xdr:nvGraphicFramePr>
        <xdr:cNvPr id="2" name="Chart 1">
          <a:extLst>
            <a:ext uri="{FF2B5EF4-FFF2-40B4-BE49-F238E27FC236}">
              <a16:creationId xmlns:a16="http://schemas.microsoft.com/office/drawing/2014/main" id="{5EE0796A-DAA5-4264-8724-1636429BB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63500</xdr:colOff>
      <xdr:row>17</xdr:row>
      <xdr:rowOff>6350</xdr:rowOff>
    </xdr:from>
    <xdr:to>
      <xdr:col>10</xdr:col>
      <xdr:colOff>177800</xdr:colOff>
      <xdr:row>18</xdr:row>
      <xdr:rowOff>146050</xdr:rowOff>
    </xdr:to>
    <xdr:sp macro="" textlink="">
      <xdr:nvSpPr>
        <xdr:cNvPr id="3" name="TextBox 2">
          <a:extLst>
            <a:ext uri="{FF2B5EF4-FFF2-40B4-BE49-F238E27FC236}">
              <a16:creationId xmlns:a16="http://schemas.microsoft.com/office/drawing/2014/main" id="{B77509E2-111C-0DFE-1DEF-918EA7E91F2D}"/>
            </a:ext>
          </a:extLst>
        </xdr:cNvPr>
        <xdr:cNvSpPr txBox="1"/>
      </xdr:nvSpPr>
      <xdr:spPr>
        <a:xfrm>
          <a:off x="673100" y="3136900"/>
          <a:ext cx="56007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Showing a daily trend with an area sparkline to spot patterns like busy days</a:t>
          </a:r>
          <a:r>
            <a:rPr lang="en-IN" sz="1100" baseline="0"/>
            <a:t> or seasonal trends.</a:t>
          </a:r>
          <a:endParaRPr lang="en-IN" sz="1100"/>
        </a:p>
      </xdr:txBody>
    </xdr:sp>
    <xdr:clientData/>
  </xdr:twoCellAnchor>
  <xdr:twoCellAnchor editAs="oneCell">
    <xdr:from>
      <xdr:col>0</xdr:col>
      <xdr:colOff>57150</xdr:colOff>
      <xdr:row>0</xdr:row>
      <xdr:rowOff>44450</xdr:rowOff>
    </xdr:from>
    <xdr:to>
      <xdr:col>0</xdr:col>
      <xdr:colOff>400050</xdr:colOff>
      <xdr:row>2</xdr:row>
      <xdr:rowOff>19050</xdr:rowOff>
    </xdr:to>
    <xdr:pic>
      <xdr:nvPicPr>
        <xdr:cNvPr id="5" name="Graphic 4" descr="House with solid fill">
          <a:hlinkClick xmlns:r="http://schemas.openxmlformats.org/officeDocument/2006/relationships" r:id="rId2"/>
          <a:extLst>
            <a:ext uri="{FF2B5EF4-FFF2-40B4-BE49-F238E27FC236}">
              <a16:creationId xmlns:a16="http://schemas.microsoft.com/office/drawing/2014/main" id="{94BFA1D9-81BF-67D4-1337-93CE8DD0F0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150" y="44450"/>
          <a:ext cx="342900"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425450</xdr:colOff>
      <xdr:row>17</xdr:row>
      <xdr:rowOff>6350</xdr:rowOff>
    </xdr:from>
    <xdr:to>
      <xdr:col>10</xdr:col>
      <xdr:colOff>558800</xdr:colOff>
      <xdr:row>19</xdr:row>
      <xdr:rowOff>6350</xdr:rowOff>
    </xdr:to>
    <xdr:sp macro="" textlink="">
      <xdr:nvSpPr>
        <xdr:cNvPr id="3" name="TextBox 2">
          <a:extLst>
            <a:ext uri="{FF2B5EF4-FFF2-40B4-BE49-F238E27FC236}">
              <a16:creationId xmlns:a16="http://schemas.microsoft.com/office/drawing/2014/main" id="{AD976B45-FF2D-45C1-824E-87B1987AB743}"/>
            </a:ext>
          </a:extLst>
        </xdr:cNvPr>
        <xdr:cNvSpPr txBox="1"/>
      </xdr:nvSpPr>
      <xdr:spPr>
        <a:xfrm>
          <a:off x="425450" y="3136900"/>
          <a:ext cx="6229350" cy="36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Use an Area sparkline to how trends,spot</a:t>
          </a:r>
          <a:r>
            <a:rPr lang="en-IN" sz="1100" baseline="0"/>
            <a:t> drops in satisfaction and link them to busy times or challenges.</a:t>
          </a:r>
          <a:endParaRPr lang="en-IN" sz="1100"/>
        </a:p>
      </xdr:txBody>
    </xdr:sp>
    <xdr:clientData/>
  </xdr:twoCellAnchor>
  <xdr:twoCellAnchor editAs="oneCell">
    <xdr:from>
      <xdr:col>0</xdr:col>
      <xdr:colOff>95250</xdr:colOff>
      <xdr:row>0</xdr:row>
      <xdr:rowOff>19050</xdr:rowOff>
    </xdr:from>
    <xdr:to>
      <xdr:col>0</xdr:col>
      <xdr:colOff>438150</xdr:colOff>
      <xdr:row>1</xdr:row>
      <xdr:rowOff>177800</xdr:rowOff>
    </xdr:to>
    <xdr:pic>
      <xdr:nvPicPr>
        <xdr:cNvPr id="4" name="Graphic 3" descr="House with solid fill">
          <a:hlinkClick xmlns:r="http://schemas.openxmlformats.org/officeDocument/2006/relationships" r:id="rId1"/>
          <a:extLst>
            <a:ext uri="{FF2B5EF4-FFF2-40B4-BE49-F238E27FC236}">
              <a16:creationId xmlns:a16="http://schemas.microsoft.com/office/drawing/2014/main" id="{BBA6A31E-E81F-4898-860A-9B2718B3390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250" y="19050"/>
          <a:ext cx="342900" cy="342900"/>
        </a:xfrm>
        <a:prstGeom prst="rect">
          <a:avLst/>
        </a:prstGeom>
      </xdr:spPr>
    </xdr:pic>
    <xdr:clientData/>
  </xdr:twoCellAnchor>
  <xdr:twoCellAnchor>
    <xdr:from>
      <xdr:col>0</xdr:col>
      <xdr:colOff>254000</xdr:colOff>
      <xdr:row>2</xdr:row>
      <xdr:rowOff>107950</xdr:rowOff>
    </xdr:from>
    <xdr:to>
      <xdr:col>11</xdr:col>
      <xdr:colOff>279400</xdr:colOff>
      <xdr:row>16</xdr:row>
      <xdr:rowOff>25400</xdr:rowOff>
    </xdr:to>
    <xdr:graphicFrame macro="">
      <xdr:nvGraphicFramePr>
        <xdr:cNvPr id="5" name="Chart 4">
          <a:hlinkClick xmlns:r="http://schemas.openxmlformats.org/officeDocument/2006/relationships" r:id="rId4"/>
          <a:extLst>
            <a:ext uri="{FF2B5EF4-FFF2-40B4-BE49-F238E27FC236}">
              <a16:creationId xmlns:a16="http://schemas.microsoft.com/office/drawing/2014/main" id="{45833BFC-36D4-4747-B7AB-C893272EF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31597224" createdVersion="5" refreshedVersion="8" minRefreshableVersion="3" recordCount="0" supportSubquery="1" supportAdvancedDrill="1" xr:uid="{D3B85ABD-30D5-4E1C-B30E-3FEE35A6C67C}">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2-Apr"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35069442" createdVersion="5" refreshedVersion="8" minRefreshableVersion="3" recordCount="0" supportSubquery="1" supportAdvancedDrill="1" xr:uid="{757D9C15-B64E-4E8C-B0A9-745A63D4872D}">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37847221" createdVersion="5" refreshedVersion="8" minRefreshableVersion="3" recordCount="0" supportSubquery="1" supportAdvancedDrill="1" xr:uid="{5B386EC0-1069-458E-AD7C-E15A8D3FA378}">
  <cacheSource type="external" connectionId="4"/>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39467591" createdVersion="5" refreshedVersion="8" minRefreshableVersion="3" recordCount="0" supportSubquery="1" supportAdvancedDrill="1" xr:uid="{E68FC988-6917-40E3-BF4F-B6AC465190FE}">
  <cacheSource type="external" connectionId="4"/>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41435185" createdVersion="5" refreshedVersion="8" minRefreshableVersion="3" recordCount="0" supportSubquery="1" supportAdvancedDrill="1" xr:uid="{CE398401-75EC-4DCF-B1CF-7A481109907A}">
  <cacheSource type="external" connectionId="4"/>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43402778" createdVersion="5" refreshedVersion="8" minRefreshableVersion="3" recordCount="0" supportSubquery="1" supportAdvancedDrill="1" xr:uid="{32FECBCF-EDF7-478C-8CCE-3168CD78DFA7}">
  <cacheSource type="external" connectionId="4"/>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45717595" createdVersion="5" refreshedVersion="8" minRefreshableVersion="3" recordCount="0" supportSubquery="1" supportAdvancedDrill="1" xr:uid="{069C0D9D-12D0-4242-8942-BAAD68EE2D3A}">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3"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9" level="32767">
      <extLst>
        <ext xmlns:x14="http://schemas.microsoft.com/office/spreadsheetml/2009/9/main" uri="{63CAB8AC-B538-458d-9737-405883B0398D}">
          <x14:cacheField ignore="1"/>
        </ext>
      </extLst>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46990742" createdVersion="5" refreshedVersion="8" minRefreshableVersion="3" recordCount="0" supportSubquery="1" supportAdvancedDrill="1" xr:uid="{0479642C-E730-420A-8CBB-B48DEEA4C4CB}">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5"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48958336" createdVersion="5" refreshedVersion="8" minRefreshableVersion="3" recordCount="0" supportSubquery="1" supportAdvancedDrill="1" xr:uid="{A1597565-87F1-45D2-8C2E-66D45E8952CC}">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6" level="32767"/>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51273145" createdVersion="5" refreshedVersion="8" minRefreshableVersion="3" recordCount="0" supportSubquery="1" supportAdvancedDrill="1" xr:uid="{62AB9770-87CA-49E3-BACA-FA1A821454FB}">
  <cacheSource type="external" connectionId="4"/>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7"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53935185" createdVersion="5" refreshedVersion="8" minRefreshableVersion="3" recordCount="0" supportSubquery="1" supportAdvancedDrill="1" xr:uid="{84F210A0-0EDF-4E0D-B270-197A07D743ED}">
  <cacheSource type="external" connectionId="4"/>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8"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8.016056250002" createdVersion="5" refreshedVersion="8" minRefreshableVersion="3" recordCount="0" supportSubquery="1" supportAdvancedDrill="1" xr:uid="{9472BE51-53BF-46E1-9C5F-8B8218E02A06}">
  <cacheSource type="external" connectionId="4"/>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i Chaudhary" refreshedDate="46273.914453240737" createdVersion="3" refreshedVersion="8" minRefreshableVersion="3" recordCount="0" supportSubquery="1" supportAdvancedDrill="1" xr:uid="{6A9462D7-E57A-4D5E-93CB-1A6597506641}">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Date.1]" caption="Count of Patient Admission Date.1"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984567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33A4D-A42F-4F62-8778-8D91C66F6D10}" name="PivotTable12" cacheId="11" applyNumberFormats="0" applyBorderFormats="0" applyFontFormats="0" applyPatternFormats="0" applyAlignmentFormats="0" applyWidthHeightFormats="1" dataCaption="Values" tag="b09671ca-f734-4143-966b-05c2090758c2" updatedVersion="8" minRefreshableVersion="3" useAutoFormatting="1" subtotalHiddenItems="1" itemPrintTitles="1" createdVersion="5" indent="0" outline="1" outlineData="1" multipleFieldFilters="0" chartFormat="39">
  <location ref="A104:A106" firstHeaderRow="1" firstDataRow="1" firstDataCol="1"/>
  <pivotFields count="2">
    <pivotField allDrilled="1" subtotalTop="0" showAll="0" dataSourceSort="1" defaultSubtotal="0" defaultAttributeDrillState="1"/>
    <pivotField axis="axisRow" allDrilled="1" subtotalTop="0" showAll="0" defaultSubtotal="0" defaultAttributeDrillState="1">
      <items count="1">
        <item s="1" x="0"/>
      </items>
    </pivotField>
  </pivotFields>
  <rowFields count="1">
    <field x="1"/>
  </rowFields>
  <rowItems count="2">
    <i>
      <x/>
    </i>
    <i t="grand">
      <x/>
    </i>
  </rowItems>
  <formats count="1">
    <format>
      <pivotArea outline="0" collapsedLevelsAreSubtotals="1" fieldPosition="0"/>
    </format>
  </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C6C0A0-EC96-4C92-85F3-CD2ADEC96CE5}" name="PivotTable2" cacheId="7" applyNumberFormats="0" applyBorderFormats="0" applyFontFormats="0" applyPatternFormats="0" applyAlignmentFormats="0" applyWidthHeightFormats="1" dataCaption="Values" tag="b09671ca-f734-4143-966b-05c2090758c2" updatedVersion="8" minRefreshableVersion="3" useAutoFormatting="1" subtotalHiddenItems="1" itemPrintTitles="1" createdVersion="5" indent="0" outline="1" outlineData="1" multipleFieldFilters="0" chartFormat="18">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32EE33-6913-461F-8FD2-AA135B3C10B3}" name="PivotTable6" cacheId="3" applyNumberFormats="0" applyBorderFormats="0" applyFontFormats="0" applyPatternFormats="0" applyAlignmentFormats="0" applyWidthHeightFormats="1" dataCaption="Values" tag="b09671ca-f734-4143-966b-05c2090758c2" updatedVersion="8" minRefreshableVersion="3" useAutoFormatting="1"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2">
      <pivotArea outline="0" collapsedLevelsAreSubtotals="1" fieldPosition="0"/>
    </format>
  </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8B22C-4C91-4420-AE1F-DCB671885CB9}" name="PivotTable10" cacheId="10" applyNumberFormats="0" applyBorderFormats="0" applyFontFormats="0" applyPatternFormats="0" applyAlignmentFormats="0" applyWidthHeightFormats="1" dataCaption="Values" tag="b09671ca-f734-4143-966b-05c2090758c2" updatedVersion="8" minRefreshableVersion="3" useAutoFormatting="1" subtotalHiddenItems="1" itemPrintTitles="1" createdVersion="5" indent="0" outline="1" outlineData="1" multipleFieldFilters="0" chartFormat="39">
  <location ref="A86:B9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formats count="1">
    <format>
      <pivotArea outline="0" collapsedLevelsAreSubtotals="1" fieldPosition="0"/>
    </format>
  </formats>
  <chartFormats count="10">
    <chartFormat chart="36" format="1"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2" count="1" selected="0">
            <x v="4"/>
          </reference>
        </references>
      </pivotArea>
    </chartFormat>
    <chartFormat chart="37" format="4">
      <pivotArea type="data" outline="0" fieldPosition="0">
        <references count="2">
          <reference field="4294967294" count="1" selected="0">
            <x v="0"/>
          </reference>
          <reference field="2" count="1" selected="0">
            <x v="2"/>
          </reference>
        </references>
      </pivotArea>
    </chartFormat>
    <chartFormat chart="37" format="5">
      <pivotArea type="data" outline="0" fieldPosition="0">
        <references count="2">
          <reference field="4294967294" count="1" selected="0">
            <x v="0"/>
          </reference>
          <reference field="2" count="1" selected="0">
            <x v="5"/>
          </reference>
        </references>
      </pivotArea>
    </chartFormat>
    <chartFormat chart="37" format="6">
      <pivotArea type="data" outline="0" fieldPosition="0">
        <references count="2">
          <reference field="4294967294" count="1" selected="0">
            <x v="0"/>
          </reference>
          <reference field="2" count="1" selected="0">
            <x v="0"/>
          </reference>
        </references>
      </pivotArea>
    </chartFormat>
    <chartFormat chart="37" format="7">
      <pivotArea type="data" outline="0" fieldPosition="0">
        <references count="2">
          <reference field="4294967294" count="1" selected="0">
            <x v="0"/>
          </reference>
          <reference field="2" count="1" selected="0">
            <x v="3"/>
          </reference>
        </references>
      </pivotArea>
    </chartFormat>
    <chartFormat chart="37" format="8">
      <pivotArea type="data" outline="0" fieldPosition="0">
        <references count="2">
          <reference field="4294967294" count="1" selected="0">
            <x v="0"/>
          </reference>
          <reference field="2" count="1" selected="0">
            <x v="7"/>
          </reference>
        </references>
      </pivotArea>
    </chartFormat>
    <chartFormat chart="37" format="9">
      <pivotArea type="data" outline="0" fieldPosition="0">
        <references count="2">
          <reference field="4294967294" count="1" selected="0">
            <x v="0"/>
          </reference>
          <reference field="2" count="1" selected="0">
            <x v="1"/>
          </reference>
        </references>
      </pivotArea>
    </chartFormat>
    <chartFormat chart="37" format="10">
      <pivotArea type="data" outline="0" fieldPosition="0">
        <references count="2">
          <reference field="4294967294" count="1" selected="0">
            <x v="0"/>
          </reference>
          <reference field="2" count="1" selected="0">
            <x v="6"/>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6B8BC1-C2D0-484A-898C-E8BE40988BDA}" name="PivotTable7" cacheId="8" applyNumberFormats="0" applyBorderFormats="0" applyFontFormats="0" applyPatternFormats="0" applyAlignmentFormats="0" applyWidthHeightFormats="1" dataCaption="Values" tag="b09671ca-f734-4143-966b-05c2090758c2" updatedVersion="8" minRefreshableVersion="3" useAutoFormatting="1" subtotalHiddenItems="1" itemPrintTitles="1" createdVersion="5" indent="0" outline="1" outlineData="1" multipleFieldFilters="0" chartFormat="24">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D0A945-603A-476D-BBD7-D9844AAE943E}" name="PivotTable5" cacheId="2" applyNumberFormats="0" applyBorderFormats="0" applyFontFormats="0" applyPatternFormats="0" applyAlignmentFormats="0" applyWidthHeightFormats="1" dataCaption="Values" tag="39f2e3c0-60c4-497c-8c90-6848304e9a34" updatedVersion="8" minRefreshableVersion="3" useAutoFormatting="1"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pivotArea outline="0" collapsedLevelsAreSubtotals="1" fieldPosition="0"/>
    </format>
  </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369C9-CD33-41E7-A0DD-D1CCEF04E452}" name="PivotTable11" cacheId="6" applyNumberFormats="0" applyBorderFormats="0" applyFontFormats="0" applyPatternFormats="0" applyAlignmentFormats="0" applyWidthHeightFormats="1" dataCaption="Values" tag="b09671ca-f734-4143-966b-05c2090758c2" updatedVersion="8" minRefreshableVersion="3" useAutoFormatting="1" subtotalHiddenItems="1" itemPrintTitles="1" createdVersion="5" indent="0" outline="1" outlineData="1" multipleFieldFilters="0" chartFormat="15">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2" fld="4" subtotal="count" showDataAs="percentOfTotal" baseField="0" baseItem="0" numFmtId="10">
      <extLst>
        <ext xmlns:x14="http://schemas.microsoft.com/office/spreadsheetml/2009/9/main" uri="{E15A36E0-9728-4e99-A89B-3F7291B0FE68}">
          <x14:dataField sourceField="1"/>
        </ext>
      </extLst>
    </dataField>
  </dataFields>
  <formats count="2">
    <format>
      <pivotArea outline="0" collapsedLevelsAreSubtotals="1" fieldPosition="0"/>
    </format>
    <format dxfId="3">
      <pivotArea outline="0" fieldPosition="0">
        <references count="1">
          <reference field="4294967294" count="1">
            <x v="1"/>
          </reference>
        </references>
      </pivotArea>
    </format>
  </formats>
  <chartFormats count="10">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s>
  <pivotHierarchies count="40">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986B6E-7229-4D0A-936F-9408D3790A90}" name="PivotTable3" cacheId="4" applyNumberFormats="0" applyBorderFormats="0" applyFontFormats="0" applyPatternFormats="0" applyAlignmentFormats="0" applyWidthHeightFormats="1" dataCaption="Values" tag="ddd90eec-180a-4f6f-9033-065335fa6ed9" updatedVersion="8" minRefreshableVersion="3" useAutoFormatting="1" subtotalHiddenItems="1" itemPrintTitles="1" createdVersion="5" indent="0" outline="1" outlineData="1" multipleFieldFilters="0" chartFormat="21">
  <location ref="F6:G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4">
      <pivotArea outline="0" collapsedLevelsAreSubtotals="1" fieldPosition="0"/>
    </format>
  </formats>
  <chartFormats count="5">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A3EAAC-18D6-41CB-AA8E-55450C9ADA71}" name="PivotTable9" cacheId="5" applyNumberFormats="0" applyBorderFormats="0" applyFontFormats="0" applyPatternFormats="0" applyAlignmentFormats="0" applyWidthHeightFormats="1" dataCaption="Values" tag="ddd90eec-180a-4f6f-9033-065335fa6ed9" updatedVersion="8" minRefreshableVersion="3" useAutoFormatting="1" subtotalHiddenItems="1" itemPrintTitles="1" createdVersion="5" indent="0" outline="1" outlineData="1" multipleFieldFilters="0" chartFormat="28">
  <location ref="I6:J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
      <pivotArea outline="0" collapsedLevelsAreSubtotals="1" fieldPosition="0"/>
    </format>
  </formats>
  <chartFormats count="4">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D23CE7-691A-4CD7-BD69-72CE9B75F5AF}" name="PivotTable1" cacheId="1" applyNumberFormats="0" applyBorderFormats="0" applyFontFormats="0" applyPatternFormats="0" applyAlignmentFormats="0" applyWidthHeightFormats="1" dataCaption="Values" tag="ddd90eec-180a-4f6f-9033-065335fa6ed9" updatedVersion="8"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6">
      <pivotArea dataOnly="0" labelOnly="1" outline="0" axis="axisValues" fieldPosition="0"/>
    </format>
  </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0AEE6A-9944-43A2-9D47-119F8B7A271C}" name="PivotTable8" cacheId="9" applyNumberFormats="0" applyBorderFormats="0" applyFontFormats="0" applyPatternFormats="0" applyAlignmentFormats="0" applyWidthHeightFormats="1" dataCaption="Values" tag="b09671ca-f734-4143-966b-05c2090758c2" updatedVersion="8" minRefreshableVersion="3" useAutoFormatting="1" subtotalHiddenItems="1" itemPrintTitles="1" createdVersion="5" indent="0" outline="1" outlineData="1" multipleFieldFilters="0" chartFormat="30">
  <location ref="A79:B8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pivotArea outline="0" collapsedLevelsAreSubtotals="1" fieldPosition="0"/>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2" count="1" selected="0">
            <x v="0"/>
          </reference>
        </references>
      </pivotArea>
    </chartFormat>
    <chartFormat chart="28" format="6">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5E2DC0-BC91-4EB6-8CCA-517E36242A0A}" name="PivotTable4" cacheId="0" applyNumberFormats="0" applyBorderFormats="0" applyFontFormats="0" applyPatternFormats="0" applyAlignmentFormats="0" applyWidthHeightFormats="1" dataCaption="Values" tag="ddd90eec-180a-4f6f-9033-065335fa6ed9" updatedVersion="8" minRefreshableVersion="3" useAutoFormatting="1" subtotalHiddenItems="1" itemPrintTitles="1" createdVersion="5" indent="0" outline="1" outlineData="1" multipleFieldFilters="0" chartFormat="13">
  <location ref="C6:D38"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9">
      <pivotArea collapsedLevelsAreSubtotals="1" fieldPosition="0">
        <references count="1">
          <reference field="1" count="1">
            <x v="31"/>
          </reference>
        </references>
      </pivotArea>
    </format>
    <format dxfId="8">
      <pivotArea dataOnly="0" labelOnly="1" fieldPosition="0">
        <references count="1">
          <reference field="1" count="1">
            <x v="31"/>
          </reference>
        </references>
      </pivotArea>
    </format>
    <format dxfId="7">
      <pivotArea field="1" type="button" dataOnly="0" labelOnly="1" outline="0" axis="axisRow"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4610434-04F2-4A4D-81BD-E2CB6E2AC6E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1]" tableColumnId="2"/>
      <queryTableField id="3" name="Hospital Emergency Room Data[Patient Admission Date.2]"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EBD8848-A7AE-4CA5-9F3B-2B7521AC28A1}" sourceName="[Calendar_Table].[Date (Month)]">
  <pivotTables>
    <pivotTable tabId="1" name="PivotTable4"/>
    <pivotTable tabId="1" name="PivotTable1"/>
    <pivotTable tabId="1" name="PivotTable5"/>
    <pivotTable tabId="1" name="PivotTable6"/>
    <pivotTable tabId="1" name="PivotTable3"/>
    <pivotTable tabId="1" name="PivotTable9"/>
    <pivotTable tabId="1" name="PivotTable11"/>
    <pivotTable tabId="1" name="PivotTable2"/>
    <pivotTable tabId="1" name="PivotTable7"/>
    <pivotTable tabId="1" name="PivotTable8"/>
    <pivotTable tabId="1" name="PivotTable10"/>
    <pivotTable tabId="1" name="PivotTable12"/>
  </pivotTables>
  <data>
    <olap pivotCacheId="29845671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5E58423-AFC8-4047-A03A-652473DC9F97}" sourceName="[Calendar_Table].[Date (Year)]">
  <pivotTables>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s>
  <data>
    <olap pivotCacheId="298456718">
      <levels count="2">
        <level uniqueName="[Calendar_Table].[Date (Year)].[(All)]" sourceCaption="(All)" count="0"/>
        <level uniqueName="[Calendar_Table].[Date (Year)].[Date (Year)]" sourceCaption="Date (Year)" count="2">
          <ranges>
            <range startItem="0">
              <i n="[Calendar_Table].[Date (Year)].&amp;[2024]" c="2024"/>
              <i n="[Calendar_Table].[Date (Year)].&amp;[2023]" c="2023" nd="1"/>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E690829E-5175-46D0-9856-7C5FCBBC1E1E}" cache="Slicer_Date__Month" caption="Date (Month)" showCaption="0" level="1" style="SlicerStyleDark3" rowHeight="180000"/>
  <slicer name="Date (Year)" xr10:uid="{A479E750-D414-4FE7-99A0-DA4CB394FDAA}" cache="Slicer_Date__Year" caption="Date (Year)" columnCount="2" showCaption="0" level="1" style="SlicerStyleDark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C8EA20-C22C-4D61-B46C-5B3E56FA6FE1}" name="Table_ExternalData_1" displayName="Table_ExternalData_1" ref="A3:M272" tableType="queryTable" totalsRowShown="0">
  <autoFilter ref="A3:M272" xr:uid="{EAC8EA20-C22C-4D61-B46C-5B3E56FA6FE1}"/>
  <tableColumns count="13">
    <tableColumn id="1" xr3:uid="{E2371420-1C58-4BEB-AF93-0E6A9EAAB1AE}" uniqueName="1" name="Hospital Emergency Room Data[Patient Id]" queryTableFieldId="1"/>
    <tableColumn id="2" xr3:uid="{F23C95E6-4AA0-4BE9-A7EF-F63D129E32C5}" uniqueName="2" name="Hospital Emergency Room Data[Patient Admission Date.1]" queryTableFieldId="2" dataDxfId="1"/>
    <tableColumn id="3" xr3:uid="{D0238D59-57A2-43E8-B4A9-38811B0C3D0F}" uniqueName="3" name="Hospital Emergency Room Data[Patient Admission Date.2]" queryTableFieldId="3" dataDxfId="0"/>
    <tableColumn id="4" xr3:uid="{E2B38FB1-99BA-4857-809E-AF82F3EBF075}" uniqueName="4" name="Hospital Emergency Room Data[Merged]" queryTableFieldId="4"/>
    <tableColumn id="5" xr3:uid="{DE62F0FA-7068-4414-93CD-F6933BD4916A}" uniqueName="5" name="Hospital Emergency Room Data[Patient Gender]" queryTableFieldId="5"/>
    <tableColumn id="6" xr3:uid="{2FBC4A56-2D94-4C89-8187-2F8E8CC0A80C}" uniqueName="6" name="Hospital Emergency Room Data[Patient Age]" queryTableFieldId="6"/>
    <tableColumn id="7" xr3:uid="{289858AD-4AE1-49C5-BFAF-5B6DF3EF9EE1}" uniqueName="7" name="Hospital Emergency Room Data[Patient Race]" queryTableFieldId="7"/>
    <tableColumn id="8" xr3:uid="{FA31435B-FBC1-4929-9399-50C4E8DE08B9}" uniqueName="8" name="Hospital Emergency Room Data[Department Referral]" queryTableFieldId="8"/>
    <tableColumn id="9" xr3:uid="{6237EC35-0A71-42FB-8849-DD6083516D6E}" uniqueName="9" name="Hospital Emergency Room Data[Patient Admission Flag]" queryTableFieldId="9"/>
    <tableColumn id="10" xr3:uid="{7C11C829-930F-49E5-8ED4-0FAF1FD2062F}" uniqueName="10" name="Hospital Emergency Room Data[Patient Satisfaction Score]" queryTableFieldId="10"/>
    <tableColumn id="11" xr3:uid="{9D79247B-6BD3-4696-A081-2BBE02603702}" uniqueName="11" name="Hospital Emergency Room Data[Patient Waittime]" queryTableFieldId="11"/>
    <tableColumn id="12" xr3:uid="{36169188-89C1-4DAD-9042-6E484F0792BC}" uniqueName="12" name="Hospital Emergency Room Data[Age Group]" queryTableFieldId="12"/>
    <tableColumn id="13" xr3:uid="{DB1946D2-381D-4F5B-94F7-2D163A401CFC}"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olidFill>
            <a:schemeClr val="tx1"/>
          </a:solidFill>
        </a:ln>
      </a:spPr>
      <a:bodyPr vertOverflow="clip" horzOverflow="clip" rtlCol="0" anchor="t"/>
      <a:lstStyle>
        <a:defPPr algn="l">
          <a:defRPr/>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6A20E-FE31-4FEC-BA2E-4BC11611414A}">
  <dimension ref="A1:M272"/>
  <sheetViews>
    <sheetView workbookViewId="0"/>
  </sheetViews>
  <sheetFormatPr defaultRowHeight="14.5" x14ac:dyDescent="0.35"/>
  <cols>
    <col min="1" max="1" width="39.36328125" bestFit="1" customWidth="1"/>
    <col min="2" max="3" width="52.7265625" bestFit="1" customWidth="1"/>
    <col min="4" max="4" width="37.6328125" bestFit="1" customWidth="1"/>
    <col min="5" max="5" width="44.08984375" bestFit="1" customWidth="1"/>
    <col min="6" max="6" width="40.90625" bestFit="1" customWidth="1"/>
    <col min="7" max="7" width="41.7265625" bestFit="1" customWidth="1"/>
    <col min="8" max="8" width="48.81640625" bestFit="1" customWidth="1"/>
    <col min="9" max="9" width="50.36328125" bestFit="1" customWidth="1"/>
    <col min="10" max="10" width="52.81640625" bestFit="1" customWidth="1"/>
    <col min="11" max="11" width="45.7265625" bestFit="1" customWidth="1"/>
    <col min="12" max="12" width="40.08984375" bestFit="1" customWidth="1"/>
    <col min="13" max="13" width="49.54296875" bestFit="1" customWidth="1"/>
  </cols>
  <sheetData>
    <row r="1" spans="1:13" x14ac:dyDescent="0.35">
      <c r="A1" s="13" t="s">
        <v>633</v>
      </c>
    </row>
    <row r="3" spans="1:13" x14ac:dyDescent="0.35">
      <c r="A3" t="s">
        <v>75</v>
      </c>
      <c r="B3" t="s">
        <v>76</v>
      </c>
      <c r="C3" t="s">
        <v>77</v>
      </c>
      <c r="D3" t="s">
        <v>78</v>
      </c>
      <c r="E3" t="s">
        <v>79</v>
      </c>
      <c r="F3" t="s">
        <v>80</v>
      </c>
      <c r="G3" t="s">
        <v>81</v>
      </c>
      <c r="H3" t="s">
        <v>82</v>
      </c>
      <c r="I3" t="s">
        <v>83</v>
      </c>
      <c r="J3" t="s">
        <v>84</v>
      </c>
      <c r="K3" t="s">
        <v>85</v>
      </c>
      <c r="L3" t="s">
        <v>86</v>
      </c>
      <c r="M3" t="s">
        <v>87</v>
      </c>
    </row>
    <row r="4" spans="1:13" x14ac:dyDescent="0.35">
      <c r="A4" t="s">
        <v>88</v>
      </c>
      <c r="B4" s="11">
        <v>45292</v>
      </c>
      <c r="C4" s="12">
        <v>0.99791666666666667</v>
      </c>
      <c r="D4" t="s">
        <v>89</v>
      </c>
      <c r="E4" t="s">
        <v>31</v>
      </c>
      <c r="F4">
        <v>37</v>
      </c>
      <c r="G4" t="s">
        <v>90</v>
      </c>
      <c r="H4" t="s">
        <v>38</v>
      </c>
      <c r="I4" t="s">
        <v>8</v>
      </c>
      <c r="K4">
        <v>14</v>
      </c>
      <c r="L4" t="s">
        <v>19</v>
      </c>
      <c r="M4" t="s">
        <v>26</v>
      </c>
    </row>
    <row r="5" spans="1:13" x14ac:dyDescent="0.35">
      <c r="A5" t="s">
        <v>91</v>
      </c>
      <c r="B5" s="11">
        <v>45293</v>
      </c>
      <c r="C5" s="12">
        <v>0.87777777777777777</v>
      </c>
      <c r="D5" t="s">
        <v>92</v>
      </c>
      <c r="E5" t="s">
        <v>31</v>
      </c>
      <c r="F5">
        <v>56</v>
      </c>
      <c r="G5" t="s">
        <v>90</v>
      </c>
      <c r="H5" t="s">
        <v>38</v>
      </c>
      <c r="I5" t="s">
        <v>8</v>
      </c>
      <c r="K5">
        <v>39</v>
      </c>
      <c r="L5" t="s">
        <v>21</v>
      </c>
      <c r="M5" t="s">
        <v>25</v>
      </c>
    </row>
    <row r="6" spans="1:13" x14ac:dyDescent="0.35">
      <c r="A6" t="s">
        <v>93</v>
      </c>
      <c r="B6" s="11">
        <v>45293</v>
      </c>
      <c r="C6" s="12">
        <v>0.12847222222222221</v>
      </c>
      <c r="D6" t="s">
        <v>94</v>
      </c>
      <c r="E6" t="s">
        <v>31</v>
      </c>
      <c r="F6">
        <v>2</v>
      </c>
      <c r="G6" t="s">
        <v>90</v>
      </c>
      <c r="H6" t="s">
        <v>38</v>
      </c>
      <c r="I6" t="s">
        <v>8</v>
      </c>
      <c r="K6">
        <v>58</v>
      </c>
      <c r="L6" t="s">
        <v>16</v>
      </c>
      <c r="M6" t="s">
        <v>25</v>
      </c>
    </row>
    <row r="7" spans="1:13" x14ac:dyDescent="0.35">
      <c r="A7" t="s">
        <v>95</v>
      </c>
      <c r="B7" s="11">
        <v>45294</v>
      </c>
      <c r="C7" s="12">
        <v>0.51388888888888884</v>
      </c>
      <c r="D7" t="s">
        <v>96</v>
      </c>
      <c r="E7" t="s">
        <v>31</v>
      </c>
      <c r="F7">
        <v>16</v>
      </c>
      <c r="G7" t="s">
        <v>90</v>
      </c>
      <c r="H7" t="s">
        <v>38</v>
      </c>
      <c r="I7" t="s">
        <v>8</v>
      </c>
      <c r="K7">
        <v>34</v>
      </c>
      <c r="L7" t="s">
        <v>17</v>
      </c>
      <c r="M7" t="s">
        <v>25</v>
      </c>
    </row>
    <row r="8" spans="1:13" x14ac:dyDescent="0.35">
      <c r="A8" t="s">
        <v>97</v>
      </c>
      <c r="B8" s="11">
        <v>45294</v>
      </c>
      <c r="C8" s="12">
        <v>0.5805555555555556</v>
      </c>
      <c r="D8" t="s">
        <v>98</v>
      </c>
      <c r="E8" t="s">
        <v>31</v>
      </c>
      <c r="F8">
        <v>62</v>
      </c>
      <c r="G8" t="s">
        <v>90</v>
      </c>
      <c r="H8" t="s">
        <v>38</v>
      </c>
      <c r="I8" t="s">
        <v>8</v>
      </c>
      <c r="K8">
        <v>57</v>
      </c>
      <c r="L8" t="s">
        <v>22</v>
      </c>
      <c r="M8" t="s">
        <v>25</v>
      </c>
    </row>
    <row r="9" spans="1:13" x14ac:dyDescent="0.35">
      <c r="A9" t="s">
        <v>99</v>
      </c>
      <c r="B9" s="11">
        <v>45295</v>
      </c>
      <c r="C9" s="12">
        <v>0.97847222222222219</v>
      </c>
      <c r="D9" t="s">
        <v>100</v>
      </c>
      <c r="E9" t="s">
        <v>31</v>
      </c>
      <c r="F9">
        <v>25</v>
      </c>
      <c r="G9" t="s">
        <v>90</v>
      </c>
      <c r="H9" t="s">
        <v>38</v>
      </c>
      <c r="I9" t="s">
        <v>8</v>
      </c>
      <c r="K9">
        <v>15</v>
      </c>
      <c r="L9" t="s">
        <v>18</v>
      </c>
      <c r="M9" t="s">
        <v>26</v>
      </c>
    </row>
    <row r="10" spans="1:13" x14ac:dyDescent="0.35">
      <c r="A10" t="s">
        <v>101</v>
      </c>
      <c r="B10" s="11">
        <v>45295</v>
      </c>
      <c r="C10" s="12">
        <v>0.68194444444444446</v>
      </c>
      <c r="D10" t="s">
        <v>102</v>
      </c>
      <c r="E10" t="s">
        <v>31</v>
      </c>
      <c r="F10">
        <v>5</v>
      </c>
      <c r="G10" t="s">
        <v>90</v>
      </c>
      <c r="H10" t="s">
        <v>38</v>
      </c>
      <c r="I10" t="s">
        <v>8</v>
      </c>
      <c r="K10">
        <v>48</v>
      </c>
      <c r="L10" t="s">
        <v>16</v>
      </c>
      <c r="M10" t="s">
        <v>25</v>
      </c>
    </row>
    <row r="11" spans="1:13" x14ac:dyDescent="0.35">
      <c r="A11" t="s">
        <v>103</v>
      </c>
      <c r="B11" s="11">
        <v>45295</v>
      </c>
      <c r="C11" s="12">
        <v>0.33888888888888891</v>
      </c>
      <c r="D11" t="s">
        <v>104</v>
      </c>
      <c r="E11" t="s">
        <v>31</v>
      </c>
      <c r="F11">
        <v>61</v>
      </c>
      <c r="G11" t="s">
        <v>90</v>
      </c>
      <c r="H11" t="s">
        <v>38</v>
      </c>
      <c r="I11" t="s">
        <v>8</v>
      </c>
      <c r="K11">
        <v>25</v>
      </c>
      <c r="L11" t="s">
        <v>22</v>
      </c>
      <c r="M11" t="s">
        <v>26</v>
      </c>
    </row>
    <row r="12" spans="1:13" x14ac:dyDescent="0.35">
      <c r="A12" t="s">
        <v>105</v>
      </c>
      <c r="B12" s="11">
        <v>45298</v>
      </c>
      <c r="C12" s="12">
        <v>0.2048611111111111</v>
      </c>
      <c r="D12" t="s">
        <v>106</v>
      </c>
      <c r="E12" t="s">
        <v>31</v>
      </c>
      <c r="F12">
        <v>10</v>
      </c>
      <c r="G12" t="s">
        <v>90</v>
      </c>
      <c r="H12" t="s">
        <v>38</v>
      </c>
      <c r="I12" t="s">
        <v>8</v>
      </c>
      <c r="K12">
        <v>39</v>
      </c>
      <c r="L12" t="s">
        <v>16</v>
      </c>
      <c r="M12" t="s">
        <v>25</v>
      </c>
    </row>
    <row r="13" spans="1:13" x14ac:dyDescent="0.35">
      <c r="A13" t="s">
        <v>107</v>
      </c>
      <c r="B13" s="11">
        <v>45298</v>
      </c>
      <c r="C13" s="12">
        <v>0.60138888888888886</v>
      </c>
      <c r="D13" t="s">
        <v>108</v>
      </c>
      <c r="E13" t="s">
        <v>31</v>
      </c>
      <c r="F13">
        <v>14</v>
      </c>
      <c r="G13" t="s">
        <v>90</v>
      </c>
      <c r="H13" t="s">
        <v>38</v>
      </c>
      <c r="I13" t="s">
        <v>8</v>
      </c>
      <c r="K13">
        <v>34</v>
      </c>
      <c r="L13" t="s">
        <v>17</v>
      </c>
      <c r="M13" t="s">
        <v>25</v>
      </c>
    </row>
    <row r="14" spans="1:13" x14ac:dyDescent="0.35">
      <c r="A14" t="s">
        <v>109</v>
      </c>
      <c r="B14" s="11">
        <v>45299</v>
      </c>
      <c r="C14" s="12">
        <v>0.86041666666666672</v>
      </c>
      <c r="D14" t="s">
        <v>110</v>
      </c>
      <c r="E14" t="s">
        <v>31</v>
      </c>
      <c r="F14">
        <v>30</v>
      </c>
      <c r="G14" t="s">
        <v>90</v>
      </c>
      <c r="H14" t="s">
        <v>38</v>
      </c>
      <c r="I14" t="s">
        <v>8</v>
      </c>
      <c r="K14">
        <v>39</v>
      </c>
      <c r="L14" t="s">
        <v>18</v>
      </c>
      <c r="M14" t="s">
        <v>25</v>
      </c>
    </row>
    <row r="15" spans="1:13" x14ac:dyDescent="0.35">
      <c r="A15" t="s">
        <v>111</v>
      </c>
      <c r="B15" s="11">
        <v>45300</v>
      </c>
      <c r="C15" s="12">
        <v>0.13819444444444445</v>
      </c>
      <c r="D15" t="s">
        <v>112</v>
      </c>
      <c r="E15" t="s">
        <v>31</v>
      </c>
      <c r="F15">
        <v>18</v>
      </c>
      <c r="G15" t="s">
        <v>90</v>
      </c>
      <c r="H15" t="s">
        <v>38</v>
      </c>
      <c r="I15" t="s">
        <v>8</v>
      </c>
      <c r="K15">
        <v>60</v>
      </c>
      <c r="L15" t="s">
        <v>17</v>
      </c>
      <c r="M15" t="s">
        <v>25</v>
      </c>
    </row>
    <row r="16" spans="1:13" x14ac:dyDescent="0.35">
      <c r="A16" t="s">
        <v>113</v>
      </c>
      <c r="B16" s="11">
        <v>45304</v>
      </c>
      <c r="C16" s="12">
        <v>0.31805555555555554</v>
      </c>
      <c r="D16" t="s">
        <v>114</v>
      </c>
      <c r="E16" t="s">
        <v>31</v>
      </c>
      <c r="F16">
        <v>4</v>
      </c>
      <c r="G16" t="s">
        <v>90</v>
      </c>
      <c r="H16" t="s">
        <v>38</v>
      </c>
      <c r="I16" t="s">
        <v>8</v>
      </c>
      <c r="K16">
        <v>41</v>
      </c>
      <c r="L16" t="s">
        <v>16</v>
      </c>
      <c r="M16" t="s">
        <v>25</v>
      </c>
    </row>
    <row r="17" spans="1:13" x14ac:dyDescent="0.35">
      <c r="A17" t="s">
        <v>115</v>
      </c>
      <c r="B17" s="11">
        <v>45305</v>
      </c>
      <c r="C17" s="12">
        <v>0.1701388888888889</v>
      </c>
      <c r="D17" t="s">
        <v>116</v>
      </c>
      <c r="E17" t="s">
        <v>31</v>
      </c>
      <c r="F17">
        <v>48</v>
      </c>
      <c r="G17" t="s">
        <v>90</v>
      </c>
      <c r="H17" t="s">
        <v>38</v>
      </c>
      <c r="I17" t="s">
        <v>8</v>
      </c>
      <c r="K17">
        <v>33</v>
      </c>
      <c r="L17" t="s">
        <v>20</v>
      </c>
      <c r="M17" t="s">
        <v>25</v>
      </c>
    </row>
    <row r="18" spans="1:13" x14ac:dyDescent="0.35">
      <c r="A18" t="s">
        <v>117</v>
      </c>
      <c r="B18" s="11">
        <v>45312</v>
      </c>
      <c r="C18" s="12">
        <v>0.43263888888888891</v>
      </c>
      <c r="D18" t="s">
        <v>118</v>
      </c>
      <c r="E18" t="s">
        <v>31</v>
      </c>
      <c r="F18">
        <v>18</v>
      </c>
      <c r="G18" t="s">
        <v>90</v>
      </c>
      <c r="H18" t="s">
        <v>38</v>
      </c>
      <c r="I18" t="s">
        <v>8</v>
      </c>
      <c r="K18">
        <v>20</v>
      </c>
      <c r="L18" t="s">
        <v>17</v>
      </c>
      <c r="M18" t="s">
        <v>26</v>
      </c>
    </row>
    <row r="19" spans="1:13" x14ac:dyDescent="0.35">
      <c r="A19" t="s">
        <v>119</v>
      </c>
      <c r="B19" s="11">
        <v>45317</v>
      </c>
      <c r="C19" s="12">
        <v>0.73611111111111116</v>
      </c>
      <c r="D19" t="s">
        <v>120</v>
      </c>
      <c r="E19" t="s">
        <v>31</v>
      </c>
      <c r="F19">
        <v>39</v>
      </c>
      <c r="G19" t="s">
        <v>90</v>
      </c>
      <c r="H19" t="s">
        <v>38</v>
      </c>
      <c r="I19" t="s">
        <v>8</v>
      </c>
      <c r="K19">
        <v>60</v>
      </c>
      <c r="L19" t="s">
        <v>19</v>
      </c>
      <c r="M19" t="s">
        <v>25</v>
      </c>
    </row>
    <row r="20" spans="1:13" x14ac:dyDescent="0.35">
      <c r="A20" t="s">
        <v>121</v>
      </c>
      <c r="B20" s="11">
        <v>45319</v>
      </c>
      <c r="C20" s="12">
        <v>0.81666666666666665</v>
      </c>
      <c r="D20" t="s">
        <v>122</v>
      </c>
      <c r="E20" t="s">
        <v>31</v>
      </c>
      <c r="F20">
        <v>43</v>
      </c>
      <c r="G20" t="s">
        <v>90</v>
      </c>
      <c r="H20" t="s">
        <v>38</v>
      </c>
      <c r="I20" t="s">
        <v>8</v>
      </c>
      <c r="K20">
        <v>16</v>
      </c>
      <c r="L20" t="s">
        <v>20</v>
      </c>
      <c r="M20" t="s">
        <v>26</v>
      </c>
    </row>
    <row r="21" spans="1:13" x14ac:dyDescent="0.35">
      <c r="A21" t="s">
        <v>123</v>
      </c>
      <c r="B21" s="11">
        <v>45319</v>
      </c>
      <c r="C21" s="12">
        <v>0.59166666666666667</v>
      </c>
      <c r="D21" t="s">
        <v>124</v>
      </c>
      <c r="E21" t="s">
        <v>31</v>
      </c>
      <c r="F21">
        <v>35</v>
      </c>
      <c r="G21" t="s">
        <v>90</v>
      </c>
      <c r="H21" t="s">
        <v>38</v>
      </c>
      <c r="I21" t="s">
        <v>8</v>
      </c>
      <c r="K21">
        <v>38</v>
      </c>
      <c r="L21" t="s">
        <v>19</v>
      </c>
      <c r="M21" t="s">
        <v>25</v>
      </c>
    </row>
    <row r="22" spans="1:13" x14ac:dyDescent="0.35">
      <c r="A22" t="s">
        <v>125</v>
      </c>
      <c r="B22" s="11">
        <v>45320</v>
      </c>
      <c r="C22" s="12">
        <v>3.1944444444444442E-2</v>
      </c>
      <c r="D22" t="s">
        <v>126</v>
      </c>
      <c r="E22" t="s">
        <v>31</v>
      </c>
      <c r="F22">
        <v>52</v>
      </c>
      <c r="G22" t="s">
        <v>90</v>
      </c>
      <c r="H22" t="s">
        <v>38</v>
      </c>
      <c r="I22" t="s">
        <v>8</v>
      </c>
      <c r="K22">
        <v>48</v>
      </c>
      <c r="L22" t="s">
        <v>21</v>
      </c>
      <c r="M22" t="s">
        <v>25</v>
      </c>
    </row>
    <row r="23" spans="1:13" x14ac:dyDescent="0.35">
      <c r="A23" t="s">
        <v>127</v>
      </c>
      <c r="B23" s="11">
        <v>45321</v>
      </c>
      <c r="C23" s="12">
        <v>0.55138888888888893</v>
      </c>
      <c r="D23" t="s">
        <v>128</v>
      </c>
      <c r="E23" t="s">
        <v>31</v>
      </c>
      <c r="F23">
        <v>71</v>
      </c>
      <c r="G23" t="s">
        <v>90</v>
      </c>
      <c r="H23" t="s">
        <v>38</v>
      </c>
      <c r="I23" t="s">
        <v>8</v>
      </c>
      <c r="K23">
        <v>47</v>
      </c>
      <c r="L23" t="s">
        <v>23</v>
      </c>
      <c r="M23" t="s">
        <v>25</v>
      </c>
    </row>
    <row r="24" spans="1:13" x14ac:dyDescent="0.35">
      <c r="A24" t="s">
        <v>129</v>
      </c>
      <c r="B24" s="11">
        <v>45322</v>
      </c>
      <c r="C24" s="12">
        <v>0.41458333333333336</v>
      </c>
      <c r="D24" t="s">
        <v>130</v>
      </c>
      <c r="E24" t="s">
        <v>31</v>
      </c>
      <c r="F24">
        <v>41</v>
      </c>
      <c r="G24" t="s">
        <v>90</v>
      </c>
      <c r="H24" t="s">
        <v>38</v>
      </c>
      <c r="I24" t="s">
        <v>8</v>
      </c>
      <c r="K24">
        <v>58</v>
      </c>
      <c r="L24" t="s">
        <v>20</v>
      </c>
      <c r="M24" t="s">
        <v>25</v>
      </c>
    </row>
    <row r="25" spans="1:13" x14ac:dyDescent="0.35">
      <c r="A25" t="s">
        <v>131</v>
      </c>
      <c r="B25" s="11">
        <v>45294</v>
      </c>
      <c r="C25" s="12">
        <v>0.49305555555555558</v>
      </c>
      <c r="D25" t="s">
        <v>132</v>
      </c>
      <c r="E25" t="s">
        <v>30</v>
      </c>
      <c r="F25">
        <v>65</v>
      </c>
      <c r="G25" t="s">
        <v>90</v>
      </c>
      <c r="H25" t="s">
        <v>38</v>
      </c>
      <c r="I25" t="s">
        <v>8</v>
      </c>
      <c r="K25">
        <v>19</v>
      </c>
      <c r="L25" t="s">
        <v>22</v>
      </c>
      <c r="M25" t="s">
        <v>26</v>
      </c>
    </row>
    <row r="26" spans="1:13" x14ac:dyDescent="0.35">
      <c r="A26" t="s">
        <v>133</v>
      </c>
      <c r="B26" s="11">
        <v>45299</v>
      </c>
      <c r="C26" s="12">
        <v>0.7</v>
      </c>
      <c r="D26" t="s">
        <v>134</v>
      </c>
      <c r="E26" t="s">
        <v>30</v>
      </c>
      <c r="F26">
        <v>64</v>
      </c>
      <c r="G26" t="s">
        <v>90</v>
      </c>
      <c r="H26" t="s">
        <v>38</v>
      </c>
      <c r="I26" t="s">
        <v>8</v>
      </c>
      <c r="K26">
        <v>41</v>
      </c>
      <c r="L26" t="s">
        <v>22</v>
      </c>
      <c r="M26" t="s">
        <v>25</v>
      </c>
    </row>
    <row r="27" spans="1:13" x14ac:dyDescent="0.35">
      <c r="A27" t="s">
        <v>135</v>
      </c>
      <c r="B27" s="11">
        <v>45300</v>
      </c>
      <c r="C27" s="12">
        <v>0.9375</v>
      </c>
      <c r="D27" t="s">
        <v>136</v>
      </c>
      <c r="E27" t="s">
        <v>30</v>
      </c>
      <c r="F27">
        <v>48</v>
      </c>
      <c r="G27" t="s">
        <v>90</v>
      </c>
      <c r="H27" t="s">
        <v>38</v>
      </c>
      <c r="I27" t="s">
        <v>8</v>
      </c>
      <c r="K27">
        <v>11</v>
      </c>
      <c r="L27" t="s">
        <v>20</v>
      </c>
      <c r="M27" t="s">
        <v>26</v>
      </c>
    </row>
    <row r="28" spans="1:13" x14ac:dyDescent="0.35">
      <c r="A28" t="s">
        <v>137</v>
      </c>
      <c r="B28" s="11">
        <v>45300</v>
      </c>
      <c r="C28" s="12">
        <v>0.91249999999999998</v>
      </c>
      <c r="D28" t="s">
        <v>138</v>
      </c>
      <c r="E28" t="s">
        <v>30</v>
      </c>
      <c r="F28">
        <v>60</v>
      </c>
      <c r="G28" t="s">
        <v>90</v>
      </c>
      <c r="H28" t="s">
        <v>38</v>
      </c>
      <c r="I28" t="s">
        <v>8</v>
      </c>
      <c r="K28">
        <v>60</v>
      </c>
      <c r="L28" t="s">
        <v>21</v>
      </c>
      <c r="M28" t="s">
        <v>25</v>
      </c>
    </row>
    <row r="29" spans="1:13" x14ac:dyDescent="0.35">
      <c r="A29" t="s">
        <v>139</v>
      </c>
      <c r="B29" s="11">
        <v>45302</v>
      </c>
      <c r="C29" s="12">
        <v>9.2361111111111116E-2</v>
      </c>
      <c r="D29" t="s">
        <v>140</v>
      </c>
      <c r="E29" t="s">
        <v>30</v>
      </c>
      <c r="F29">
        <v>8</v>
      </c>
      <c r="G29" t="s">
        <v>90</v>
      </c>
      <c r="H29" t="s">
        <v>38</v>
      </c>
      <c r="I29" t="s">
        <v>8</v>
      </c>
      <c r="K29">
        <v>10</v>
      </c>
      <c r="L29" t="s">
        <v>16</v>
      </c>
      <c r="M29" t="s">
        <v>26</v>
      </c>
    </row>
    <row r="30" spans="1:13" x14ac:dyDescent="0.35">
      <c r="A30" t="s">
        <v>141</v>
      </c>
      <c r="B30" s="11">
        <v>45302</v>
      </c>
      <c r="C30" s="12">
        <v>0.75069444444444444</v>
      </c>
      <c r="D30" t="s">
        <v>142</v>
      </c>
      <c r="E30" t="s">
        <v>30</v>
      </c>
      <c r="F30">
        <v>12</v>
      </c>
      <c r="G30" t="s">
        <v>90</v>
      </c>
      <c r="H30" t="s">
        <v>38</v>
      </c>
      <c r="I30" t="s">
        <v>8</v>
      </c>
      <c r="K30">
        <v>53</v>
      </c>
      <c r="L30" t="s">
        <v>17</v>
      </c>
      <c r="M30" t="s">
        <v>25</v>
      </c>
    </row>
    <row r="31" spans="1:13" x14ac:dyDescent="0.35">
      <c r="A31" t="s">
        <v>143</v>
      </c>
      <c r="B31" s="11">
        <v>45303</v>
      </c>
      <c r="C31" s="12">
        <v>0.3611111111111111</v>
      </c>
      <c r="D31" t="s">
        <v>144</v>
      </c>
      <c r="E31" t="s">
        <v>30</v>
      </c>
      <c r="F31">
        <v>58</v>
      </c>
      <c r="G31" t="s">
        <v>90</v>
      </c>
      <c r="H31" t="s">
        <v>38</v>
      </c>
      <c r="I31" t="s">
        <v>8</v>
      </c>
      <c r="K31">
        <v>10</v>
      </c>
      <c r="L31" t="s">
        <v>21</v>
      </c>
      <c r="M31" t="s">
        <v>26</v>
      </c>
    </row>
    <row r="32" spans="1:13" x14ac:dyDescent="0.35">
      <c r="A32" t="s">
        <v>145</v>
      </c>
      <c r="B32" s="11">
        <v>45304</v>
      </c>
      <c r="C32" s="12">
        <v>0.79513888888888884</v>
      </c>
      <c r="D32" t="s">
        <v>146</v>
      </c>
      <c r="E32" t="s">
        <v>30</v>
      </c>
      <c r="F32">
        <v>72</v>
      </c>
      <c r="G32" t="s">
        <v>90</v>
      </c>
      <c r="H32" t="s">
        <v>38</v>
      </c>
      <c r="I32" t="s">
        <v>8</v>
      </c>
      <c r="K32">
        <v>33</v>
      </c>
      <c r="L32" t="s">
        <v>23</v>
      </c>
      <c r="M32" t="s">
        <v>25</v>
      </c>
    </row>
    <row r="33" spans="1:13" x14ac:dyDescent="0.35">
      <c r="A33" t="s">
        <v>147</v>
      </c>
      <c r="B33" s="11">
        <v>45306</v>
      </c>
      <c r="C33" s="12">
        <v>0.28819444444444442</v>
      </c>
      <c r="D33" t="s">
        <v>148</v>
      </c>
      <c r="E33" t="s">
        <v>30</v>
      </c>
      <c r="F33">
        <v>33</v>
      </c>
      <c r="G33" t="s">
        <v>90</v>
      </c>
      <c r="H33" t="s">
        <v>38</v>
      </c>
      <c r="I33" t="s">
        <v>8</v>
      </c>
      <c r="K33">
        <v>15</v>
      </c>
      <c r="L33" t="s">
        <v>19</v>
      </c>
      <c r="M33" t="s">
        <v>26</v>
      </c>
    </row>
    <row r="34" spans="1:13" x14ac:dyDescent="0.35">
      <c r="A34" t="s">
        <v>149</v>
      </c>
      <c r="B34" s="11">
        <v>45308</v>
      </c>
      <c r="C34" s="12">
        <v>0.85624999999999996</v>
      </c>
      <c r="D34" t="s">
        <v>150</v>
      </c>
      <c r="E34" t="s">
        <v>30</v>
      </c>
      <c r="F34">
        <v>49</v>
      </c>
      <c r="G34" t="s">
        <v>90</v>
      </c>
      <c r="H34" t="s">
        <v>38</v>
      </c>
      <c r="I34" t="s">
        <v>8</v>
      </c>
      <c r="K34">
        <v>38</v>
      </c>
      <c r="L34" t="s">
        <v>20</v>
      </c>
      <c r="M34" t="s">
        <v>25</v>
      </c>
    </row>
    <row r="35" spans="1:13" x14ac:dyDescent="0.35">
      <c r="A35" t="s">
        <v>151</v>
      </c>
      <c r="B35" s="11">
        <v>45310</v>
      </c>
      <c r="C35" s="12">
        <v>0.35138888888888886</v>
      </c>
      <c r="D35" t="s">
        <v>152</v>
      </c>
      <c r="E35" t="s">
        <v>30</v>
      </c>
      <c r="F35">
        <v>11</v>
      </c>
      <c r="G35" t="s">
        <v>90</v>
      </c>
      <c r="H35" t="s">
        <v>38</v>
      </c>
      <c r="I35" t="s">
        <v>8</v>
      </c>
      <c r="K35">
        <v>56</v>
      </c>
      <c r="L35" t="s">
        <v>17</v>
      </c>
      <c r="M35" t="s">
        <v>25</v>
      </c>
    </row>
    <row r="36" spans="1:13" x14ac:dyDescent="0.35">
      <c r="A36" t="s">
        <v>153</v>
      </c>
      <c r="B36" s="11">
        <v>45312</v>
      </c>
      <c r="C36" s="12">
        <v>0.56597222222222221</v>
      </c>
      <c r="D36" t="s">
        <v>154</v>
      </c>
      <c r="E36" t="s">
        <v>30</v>
      </c>
      <c r="F36">
        <v>12</v>
      </c>
      <c r="G36" t="s">
        <v>90</v>
      </c>
      <c r="H36" t="s">
        <v>38</v>
      </c>
      <c r="I36" t="s">
        <v>8</v>
      </c>
      <c r="K36">
        <v>12</v>
      </c>
      <c r="L36" t="s">
        <v>17</v>
      </c>
      <c r="M36" t="s">
        <v>26</v>
      </c>
    </row>
    <row r="37" spans="1:13" x14ac:dyDescent="0.35">
      <c r="A37" t="s">
        <v>155</v>
      </c>
      <c r="B37" s="11">
        <v>45313</v>
      </c>
      <c r="C37" s="12">
        <v>0.68958333333333333</v>
      </c>
      <c r="D37" t="s">
        <v>156</v>
      </c>
      <c r="E37" t="s">
        <v>30</v>
      </c>
      <c r="F37">
        <v>69</v>
      </c>
      <c r="G37" t="s">
        <v>90</v>
      </c>
      <c r="H37" t="s">
        <v>38</v>
      </c>
      <c r="I37" t="s">
        <v>8</v>
      </c>
      <c r="K37">
        <v>52</v>
      </c>
      <c r="L37" t="s">
        <v>22</v>
      </c>
      <c r="M37" t="s">
        <v>25</v>
      </c>
    </row>
    <row r="38" spans="1:13" x14ac:dyDescent="0.35">
      <c r="A38" t="s">
        <v>157</v>
      </c>
      <c r="B38" s="11">
        <v>45315</v>
      </c>
      <c r="C38" s="12">
        <v>0.31180555555555556</v>
      </c>
      <c r="D38" t="s">
        <v>158</v>
      </c>
      <c r="E38" t="s">
        <v>30</v>
      </c>
      <c r="F38">
        <v>30</v>
      </c>
      <c r="G38" t="s">
        <v>90</v>
      </c>
      <c r="H38" t="s">
        <v>38</v>
      </c>
      <c r="I38" t="s">
        <v>8</v>
      </c>
      <c r="K38">
        <v>25</v>
      </c>
      <c r="L38" t="s">
        <v>18</v>
      </c>
      <c r="M38" t="s">
        <v>26</v>
      </c>
    </row>
    <row r="39" spans="1:13" x14ac:dyDescent="0.35">
      <c r="A39" t="s">
        <v>159</v>
      </c>
      <c r="B39" s="11">
        <v>45316</v>
      </c>
      <c r="C39" s="12">
        <v>0.38333333333333336</v>
      </c>
      <c r="D39" t="s">
        <v>160</v>
      </c>
      <c r="E39" t="s">
        <v>30</v>
      </c>
      <c r="F39">
        <v>69</v>
      </c>
      <c r="G39" t="s">
        <v>90</v>
      </c>
      <c r="H39" t="s">
        <v>38</v>
      </c>
      <c r="I39" t="s">
        <v>8</v>
      </c>
      <c r="K39">
        <v>34</v>
      </c>
      <c r="L39" t="s">
        <v>22</v>
      </c>
      <c r="M39" t="s">
        <v>25</v>
      </c>
    </row>
    <row r="40" spans="1:13" x14ac:dyDescent="0.35">
      <c r="A40" t="s">
        <v>161</v>
      </c>
      <c r="B40" s="11">
        <v>45318</v>
      </c>
      <c r="C40" s="12">
        <v>2.013888888888889E-2</v>
      </c>
      <c r="D40" t="s">
        <v>162</v>
      </c>
      <c r="E40" t="s">
        <v>30</v>
      </c>
      <c r="F40">
        <v>14</v>
      </c>
      <c r="G40" t="s">
        <v>90</v>
      </c>
      <c r="H40" t="s">
        <v>38</v>
      </c>
      <c r="I40" t="s">
        <v>8</v>
      </c>
      <c r="K40">
        <v>14</v>
      </c>
      <c r="L40" t="s">
        <v>17</v>
      </c>
      <c r="M40" t="s">
        <v>26</v>
      </c>
    </row>
    <row r="41" spans="1:13" x14ac:dyDescent="0.35">
      <c r="A41" t="s">
        <v>163</v>
      </c>
      <c r="B41" s="11">
        <v>45322</v>
      </c>
      <c r="C41" s="12">
        <v>0.24166666666666667</v>
      </c>
      <c r="D41" t="s">
        <v>164</v>
      </c>
      <c r="E41" t="s">
        <v>30</v>
      </c>
      <c r="F41">
        <v>27</v>
      </c>
      <c r="G41" t="s">
        <v>90</v>
      </c>
      <c r="H41" t="s">
        <v>38</v>
      </c>
      <c r="I41" t="s">
        <v>8</v>
      </c>
      <c r="K41">
        <v>58</v>
      </c>
      <c r="L41" t="s">
        <v>18</v>
      </c>
      <c r="M41" t="s">
        <v>25</v>
      </c>
    </row>
    <row r="42" spans="1:13" x14ac:dyDescent="0.35">
      <c r="A42" t="s">
        <v>165</v>
      </c>
      <c r="B42" s="11">
        <v>45292</v>
      </c>
      <c r="C42" s="12">
        <v>0.48749999999999999</v>
      </c>
      <c r="D42" t="s">
        <v>166</v>
      </c>
      <c r="E42" t="s">
        <v>30</v>
      </c>
      <c r="F42">
        <v>8</v>
      </c>
      <c r="G42" t="s">
        <v>167</v>
      </c>
      <c r="H42" t="s">
        <v>38</v>
      </c>
      <c r="I42" t="s">
        <v>8</v>
      </c>
      <c r="K42">
        <v>21</v>
      </c>
      <c r="L42" t="s">
        <v>16</v>
      </c>
      <c r="M42" t="s">
        <v>26</v>
      </c>
    </row>
    <row r="43" spans="1:13" x14ac:dyDescent="0.35">
      <c r="A43" t="s">
        <v>168</v>
      </c>
      <c r="B43" s="11">
        <v>45294</v>
      </c>
      <c r="C43" s="12">
        <v>0.55208333333333337</v>
      </c>
      <c r="D43" t="s">
        <v>169</v>
      </c>
      <c r="E43" t="s">
        <v>30</v>
      </c>
      <c r="F43">
        <v>53</v>
      </c>
      <c r="G43" t="s">
        <v>167</v>
      </c>
      <c r="H43" t="s">
        <v>38</v>
      </c>
      <c r="I43" t="s">
        <v>8</v>
      </c>
      <c r="K43">
        <v>31</v>
      </c>
      <c r="L43" t="s">
        <v>21</v>
      </c>
      <c r="M43" t="s">
        <v>25</v>
      </c>
    </row>
    <row r="44" spans="1:13" x14ac:dyDescent="0.35">
      <c r="A44" t="s">
        <v>170</v>
      </c>
      <c r="B44" s="11">
        <v>45294</v>
      </c>
      <c r="C44" s="12">
        <v>0.45902777777777776</v>
      </c>
      <c r="D44" t="s">
        <v>171</v>
      </c>
      <c r="E44" t="s">
        <v>30</v>
      </c>
      <c r="F44">
        <v>45</v>
      </c>
      <c r="G44" t="s">
        <v>167</v>
      </c>
      <c r="H44" t="s">
        <v>38</v>
      </c>
      <c r="I44" t="s">
        <v>8</v>
      </c>
      <c r="K44">
        <v>57</v>
      </c>
      <c r="L44" t="s">
        <v>20</v>
      </c>
      <c r="M44" t="s">
        <v>25</v>
      </c>
    </row>
    <row r="45" spans="1:13" x14ac:dyDescent="0.35">
      <c r="A45" t="s">
        <v>172</v>
      </c>
      <c r="B45" s="11">
        <v>45296</v>
      </c>
      <c r="C45" s="12">
        <v>7.3611111111111113E-2</v>
      </c>
      <c r="D45" t="s">
        <v>173</v>
      </c>
      <c r="E45" t="s">
        <v>30</v>
      </c>
      <c r="F45">
        <v>76</v>
      </c>
      <c r="G45" t="s">
        <v>167</v>
      </c>
      <c r="H45" t="s">
        <v>38</v>
      </c>
      <c r="I45" t="s">
        <v>8</v>
      </c>
      <c r="K45">
        <v>21</v>
      </c>
      <c r="L45" t="s">
        <v>23</v>
      </c>
      <c r="M45" t="s">
        <v>26</v>
      </c>
    </row>
    <row r="46" spans="1:13" x14ac:dyDescent="0.35">
      <c r="A46" t="s">
        <v>174</v>
      </c>
      <c r="B46" s="11">
        <v>45296</v>
      </c>
      <c r="C46" s="12">
        <v>0.37361111111111112</v>
      </c>
      <c r="D46" t="s">
        <v>175</v>
      </c>
      <c r="E46" t="s">
        <v>30</v>
      </c>
      <c r="F46">
        <v>79</v>
      </c>
      <c r="G46" t="s">
        <v>167</v>
      </c>
      <c r="H46" t="s">
        <v>38</v>
      </c>
      <c r="I46" t="s">
        <v>8</v>
      </c>
      <c r="K46">
        <v>17</v>
      </c>
      <c r="L46" t="s">
        <v>23</v>
      </c>
      <c r="M46" t="s">
        <v>26</v>
      </c>
    </row>
    <row r="47" spans="1:13" x14ac:dyDescent="0.35">
      <c r="A47" t="s">
        <v>176</v>
      </c>
      <c r="B47" s="11">
        <v>45301</v>
      </c>
      <c r="C47" s="12">
        <v>0.25069444444444444</v>
      </c>
      <c r="D47" t="s">
        <v>177</v>
      </c>
      <c r="E47" t="s">
        <v>30</v>
      </c>
      <c r="F47">
        <v>68</v>
      </c>
      <c r="G47" t="s">
        <v>167</v>
      </c>
      <c r="H47" t="s">
        <v>38</v>
      </c>
      <c r="I47" t="s">
        <v>8</v>
      </c>
      <c r="K47">
        <v>55</v>
      </c>
      <c r="L47" t="s">
        <v>22</v>
      </c>
      <c r="M47" t="s">
        <v>25</v>
      </c>
    </row>
    <row r="48" spans="1:13" x14ac:dyDescent="0.35">
      <c r="A48" t="s">
        <v>178</v>
      </c>
      <c r="B48" s="11">
        <v>45320</v>
      </c>
      <c r="C48" s="12">
        <v>0.11388888888888889</v>
      </c>
      <c r="D48" t="s">
        <v>179</v>
      </c>
      <c r="E48" t="s">
        <v>30</v>
      </c>
      <c r="F48">
        <v>45</v>
      </c>
      <c r="G48" t="s">
        <v>167</v>
      </c>
      <c r="H48" t="s">
        <v>38</v>
      </c>
      <c r="I48" t="s">
        <v>8</v>
      </c>
      <c r="K48">
        <v>31</v>
      </c>
      <c r="L48" t="s">
        <v>20</v>
      </c>
      <c r="M48" t="s">
        <v>25</v>
      </c>
    </row>
    <row r="49" spans="1:13" x14ac:dyDescent="0.35">
      <c r="A49" t="s">
        <v>180</v>
      </c>
      <c r="B49" s="11">
        <v>45292</v>
      </c>
      <c r="C49" s="12">
        <v>6.9444444444444441E-3</v>
      </c>
      <c r="D49" t="s">
        <v>181</v>
      </c>
      <c r="E49" t="s">
        <v>31</v>
      </c>
      <c r="F49">
        <v>70</v>
      </c>
      <c r="G49" t="s">
        <v>167</v>
      </c>
      <c r="H49" t="s">
        <v>38</v>
      </c>
      <c r="I49" t="s">
        <v>8</v>
      </c>
      <c r="K49">
        <v>21</v>
      </c>
      <c r="L49" t="s">
        <v>22</v>
      </c>
      <c r="M49" t="s">
        <v>26</v>
      </c>
    </row>
    <row r="50" spans="1:13" x14ac:dyDescent="0.35">
      <c r="A50" t="s">
        <v>182</v>
      </c>
      <c r="B50" s="11">
        <v>45295</v>
      </c>
      <c r="C50" s="12">
        <v>0.2361111111111111</v>
      </c>
      <c r="D50" t="s">
        <v>183</v>
      </c>
      <c r="E50" t="s">
        <v>31</v>
      </c>
      <c r="F50">
        <v>73</v>
      </c>
      <c r="G50" t="s">
        <v>167</v>
      </c>
      <c r="H50" t="s">
        <v>38</v>
      </c>
      <c r="I50" t="s">
        <v>8</v>
      </c>
      <c r="K50">
        <v>60</v>
      </c>
      <c r="L50" t="s">
        <v>23</v>
      </c>
      <c r="M50" t="s">
        <v>25</v>
      </c>
    </row>
    <row r="51" spans="1:13" x14ac:dyDescent="0.35">
      <c r="A51" t="s">
        <v>184</v>
      </c>
      <c r="B51" s="11">
        <v>45299</v>
      </c>
      <c r="C51" s="12">
        <v>0.61527777777777781</v>
      </c>
      <c r="D51" t="s">
        <v>185</v>
      </c>
      <c r="E51" t="s">
        <v>31</v>
      </c>
      <c r="F51">
        <v>38</v>
      </c>
      <c r="G51" t="s">
        <v>167</v>
      </c>
      <c r="H51" t="s">
        <v>38</v>
      </c>
      <c r="I51" t="s">
        <v>8</v>
      </c>
      <c r="K51">
        <v>56</v>
      </c>
      <c r="L51" t="s">
        <v>19</v>
      </c>
      <c r="M51" t="s">
        <v>25</v>
      </c>
    </row>
    <row r="52" spans="1:13" x14ac:dyDescent="0.35">
      <c r="A52" t="s">
        <v>186</v>
      </c>
      <c r="B52" s="11">
        <v>45302</v>
      </c>
      <c r="C52" s="12">
        <v>0.26319444444444445</v>
      </c>
      <c r="D52" t="s">
        <v>187</v>
      </c>
      <c r="E52" t="s">
        <v>31</v>
      </c>
      <c r="F52">
        <v>58</v>
      </c>
      <c r="G52" t="s">
        <v>167</v>
      </c>
      <c r="H52" t="s">
        <v>38</v>
      </c>
      <c r="I52" t="s">
        <v>8</v>
      </c>
      <c r="K52">
        <v>26</v>
      </c>
      <c r="L52" t="s">
        <v>21</v>
      </c>
      <c r="M52" t="s">
        <v>26</v>
      </c>
    </row>
    <row r="53" spans="1:13" x14ac:dyDescent="0.35">
      <c r="A53" t="s">
        <v>188</v>
      </c>
      <c r="B53" s="11">
        <v>45314</v>
      </c>
      <c r="C53" s="12">
        <v>0.98263888888888884</v>
      </c>
      <c r="D53" t="s">
        <v>189</v>
      </c>
      <c r="E53" t="s">
        <v>31</v>
      </c>
      <c r="F53">
        <v>12</v>
      </c>
      <c r="G53" t="s">
        <v>167</v>
      </c>
      <c r="H53" t="s">
        <v>38</v>
      </c>
      <c r="I53" t="s">
        <v>8</v>
      </c>
      <c r="K53">
        <v>57</v>
      </c>
      <c r="L53" t="s">
        <v>17</v>
      </c>
      <c r="M53" t="s">
        <v>25</v>
      </c>
    </row>
    <row r="54" spans="1:13" x14ac:dyDescent="0.35">
      <c r="A54" t="s">
        <v>190</v>
      </c>
      <c r="B54" s="11">
        <v>45318</v>
      </c>
      <c r="C54" s="12">
        <v>0.38819444444444445</v>
      </c>
      <c r="D54" t="s">
        <v>191</v>
      </c>
      <c r="E54" t="s">
        <v>31</v>
      </c>
      <c r="F54">
        <v>7</v>
      </c>
      <c r="G54" t="s">
        <v>167</v>
      </c>
      <c r="H54" t="s">
        <v>38</v>
      </c>
      <c r="I54" t="s">
        <v>8</v>
      </c>
      <c r="K54">
        <v>45</v>
      </c>
      <c r="L54" t="s">
        <v>16</v>
      </c>
      <c r="M54" t="s">
        <v>25</v>
      </c>
    </row>
    <row r="55" spans="1:13" x14ac:dyDescent="0.35">
      <c r="A55" t="s">
        <v>192</v>
      </c>
      <c r="B55" s="11">
        <v>45319</v>
      </c>
      <c r="C55" s="12">
        <v>0.34097222222222223</v>
      </c>
      <c r="D55" t="s">
        <v>193</v>
      </c>
      <c r="E55" t="s">
        <v>31</v>
      </c>
      <c r="F55">
        <v>39</v>
      </c>
      <c r="G55" t="s">
        <v>167</v>
      </c>
      <c r="H55" t="s">
        <v>38</v>
      </c>
      <c r="I55" t="s">
        <v>8</v>
      </c>
      <c r="K55">
        <v>37</v>
      </c>
      <c r="L55" t="s">
        <v>19</v>
      </c>
      <c r="M55" t="s">
        <v>25</v>
      </c>
    </row>
    <row r="56" spans="1:13" x14ac:dyDescent="0.35">
      <c r="A56" t="s">
        <v>194</v>
      </c>
      <c r="B56" s="11">
        <v>45321</v>
      </c>
      <c r="C56" s="12">
        <v>7.9166666666666663E-2</v>
      </c>
      <c r="D56" t="s">
        <v>195</v>
      </c>
      <c r="E56" t="s">
        <v>31</v>
      </c>
      <c r="F56">
        <v>27</v>
      </c>
      <c r="G56" t="s">
        <v>167</v>
      </c>
      <c r="H56" t="s">
        <v>38</v>
      </c>
      <c r="I56" t="s">
        <v>8</v>
      </c>
      <c r="K56">
        <v>41</v>
      </c>
      <c r="L56" t="s">
        <v>18</v>
      </c>
      <c r="M56" t="s">
        <v>25</v>
      </c>
    </row>
    <row r="57" spans="1:13" x14ac:dyDescent="0.35">
      <c r="A57" t="s">
        <v>196</v>
      </c>
      <c r="B57" s="11">
        <v>45322</v>
      </c>
      <c r="C57" s="12">
        <v>0.71111111111111114</v>
      </c>
      <c r="D57" t="s">
        <v>197</v>
      </c>
      <c r="E57" t="s">
        <v>31</v>
      </c>
      <c r="F57">
        <v>69</v>
      </c>
      <c r="G57" t="s">
        <v>167</v>
      </c>
      <c r="H57" t="s">
        <v>38</v>
      </c>
      <c r="I57" t="s">
        <v>8</v>
      </c>
      <c r="K57">
        <v>29</v>
      </c>
      <c r="L57" t="s">
        <v>22</v>
      </c>
      <c r="M57" t="s">
        <v>26</v>
      </c>
    </row>
    <row r="58" spans="1:13" x14ac:dyDescent="0.35">
      <c r="A58" t="s">
        <v>198</v>
      </c>
      <c r="B58" s="11">
        <v>45295</v>
      </c>
      <c r="C58" s="12">
        <v>0.15069444444444444</v>
      </c>
      <c r="D58" t="s">
        <v>199</v>
      </c>
      <c r="E58" t="s">
        <v>30</v>
      </c>
      <c r="F58">
        <v>27</v>
      </c>
      <c r="G58" t="s">
        <v>200</v>
      </c>
      <c r="H58" t="s">
        <v>38</v>
      </c>
      <c r="I58" t="s">
        <v>8</v>
      </c>
      <c r="K58">
        <v>24</v>
      </c>
      <c r="L58" t="s">
        <v>18</v>
      </c>
      <c r="M58" t="s">
        <v>26</v>
      </c>
    </row>
    <row r="59" spans="1:13" x14ac:dyDescent="0.35">
      <c r="A59" t="s">
        <v>201</v>
      </c>
      <c r="B59" s="11">
        <v>45304</v>
      </c>
      <c r="C59" s="12">
        <v>0.39444444444444443</v>
      </c>
      <c r="D59" t="s">
        <v>202</v>
      </c>
      <c r="E59" t="s">
        <v>30</v>
      </c>
      <c r="F59">
        <v>40</v>
      </c>
      <c r="G59" t="s">
        <v>200</v>
      </c>
      <c r="H59" t="s">
        <v>38</v>
      </c>
      <c r="I59" t="s">
        <v>8</v>
      </c>
      <c r="K59">
        <v>40</v>
      </c>
      <c r="L59" t="s">
        <v>19</v>
      </c>
      <c r="M59" t="s">
        <v>25</v>
      </c>
    </row>
    <row r="60" spans="1:13" x14ac:dyDescent="0.35">
      <c r="A60" t="s">
        <v>203</v>
      </c>
      <c r="B60" s="11">
        <v>45305</v>
      </c>
      <c r="C60" s="12">
        <v>0.24583333333333332</v>
      </c>
      <c r="D60" t="s">
        <v>204</v>
      </c>
      <c r="E60" t="s">
        <v>30</v>
      </c>
      <c r="F60">
        <v>52</v>
      </c>
      <c r="G60" t="s">
        <v>200</v>
      </c>
      <c r="H60" t="s">
        <v>38</v>
      </c>
      <c r="I60" t="s">
        <v>8</v>
      </c>
      <c r="K60">
        <v>39</v>
      </c>
      <c r="L60" t="s">
        <v>21</v>
      </c>
      <c r="M60" t="s">
        <v>25</v>
      </c>
    </row>
    <row r="61" spans="1:13" x14ac:dyDescent="0.35">
      <c r="A61" t="s">
        <v>205</v>
      </c>
      <c r="B61" s="11">
        <v>45315</v>
      </c>
      <c r="C61" s="12">
        <v>0.1125</v>
      </c>
      <c r="D61" t="s">
        <v>206</v>
      </c>
      <c r="E61" t="s">
        <v>30</v>
      </c>
      <c r="F61">
        <v>25</v>
      </c>
      <c r="G61" t="s">
        <v>200</v>
      </c>
      <c r="H61" t="s">
        <v>38</v>
      </c>
      <c r="I61" t="s">
        <v>8</v>
      </c>
      <c r="K61">
        <v>57</v>
      </c>
      <c r="L61" t="s">
        <v>18</v>
      </c>
      <c r="M61" t="s">
        <v>25</v>
      </c>
    </row>
    <row r="62" spans="1:13" x14ac:dyDescent="0.35">
      <c r="A62" t="s">
        <v>207</v>
      </c>
      <c r="B62" s="11">
        <v>45316</v>
      </c>
      <c r="C62" s="12">
        <v>0.16458333333333333</v>
      </c>
      <c r="D62" t="s">
        <v>208</v>
      </c>
      <c r="E62" t="s">
        <v>30</v>
      </c>
      <c r="F62">
        <v>18</v>
      </c>
      <c r="G62" t="s">
        <v>200</v>
      </c>
      <c r="H62" t="s">
        <v>38</v>
      </c>
      <c r="I62" t="s">
        <v>8</v>
      </c>
      <c r="K62">
        <v>44</v>
      </c>
      <c r="L62" t="s">
        <v>17</v>
      </c>
      <c r="M62" t="s">
        <v>25</v>
      </c>
    </row>
    <row r="63" spans="1:13" x14ac:dyDescent="0.35">
      <c r="A63" t="s">
        <v>209</v>
      </c>
      <c r="B63" s="11">
        <v>45296</v>
      </c>
      <c r="C63" s="12">
        <v>0.92638888888888893</v>
      </c>
      <c r="D63" t="s">
        <v>210</v>
      </c>
      <c r="E63" t="s">
        <v>31</v>
      </c>
      <c r="F63">
        <v>17</v>
      </c>
      <c r="G63" t="s">
        <v>200</v>
      </c>
      <c r="H63" t="s">
        <v>38</v>
      </c>
      <c r="I63" t="s">
        <v>8</v>
      </c>
      <c r="K63">
        <v>48</v>
      </c>
      <c r="L63" t="s">
        <v>17</v>
      </c>
      <c r="M63" t="s">
        <v>25</v>
      </c>
    </row>
    <row r="64" spans="1:13" x14ac:dyDescent="0.35">
      <c r="A64" t="s">
        <v>211</v>
      </c>
      <c r="B64" s="11">
        <v>45297</v>
      </c>
      <c r="C64" s="12">
        <v>0.54166666666666663</v>
      </c>
      <c r="D64" t="s">
        <v>212</v>
      </c>
      <c r="E64" t="s">
        <v>31</v>
      </c>
      <c r="F64">
        <v>18</v>
      </c>
      <c r="G64" t="s">
        <v>200</v>
      </c>
      <c r="H64" t="s">
        <v>38</v>
      </c>
      <c r="I64" t="s">
        <v>8</v>
      </c>
      <c r="K64">
        <v>53</v>
      </c>
      <c r="L64" t="s">
        <v>17</v>
      </c>
      <c r="M64" t="s">
        <v>25</v>
      </c>
    </row>
    <row r="65" spans="1:13" x14ac:dyDescent="0.35">
      <c r="A65" t="s">
        <v>213</v>
      </c>
      <c r="B65" s="11">
        <v>45301</v>
      </c>
      <c r="C65" s="12">
        <v>0.99861111111111112</v>
      </c>
      <c r="D65" t="s">
        <v>214</v>
      </c>
      <c r="E65" t="s">
        <v>31</v>
      </c>
      <c r="F65">
        <v>62</v>
      </c>
      <c r="G65" t="s">
        <v>200</v>
      </c>
      <c r="H65" t="s">
        <v>38</v>
      </c>
      <c r="I65" t="s">
        <v>8</v>
      </c>
      <c r="K65">
        <v>12</v>
      </c>
      <c r="L65" t="s">
        <v>22</v>
      </c>
      <c r="M65" t="s">
        <v>26</v>
      </c>
    </row>
    <row r="66" spans="1:13" x14ac:dyDescent="0.35">
      <c r="A66" t="s">
        <v>215</v>
      </c>
      <c r="B66" s="11">
        <v>45303</v>
      </c>
      <c r="C66" s="12">
        <v>0.81805555555555554</v>
      </c>
      <c r="D66" t="s">
        <v>216</v>
      </c>
      <c r="E66" t="s">
        <v>31</v>
      </c>
      <c r="F66">
        <v>26</v>
      </c>
      <c r="G66" t="s">
        <v>200</v>
      </c>
      <c r="H66" t="s">
        <v>38</v>
      </c>
      <c r="I66" t="s">
        <v>8</v>
      </c>
      <c r="K66">
        <v>50</v>
      </c>
      <c r="L66" t="s">
        <v>18</v>
      </c>
      <c r="M66" t="s">
        <v>25</v>
      </c>
    </row>
    <row r="67" spans="1:13" x14ac:dyDescent="0.35">
      <c r="A67" t="s">
        <v>217</v>
      </c>
      <c r="B67" s="11">
        <v>45304</v>
      </c>
      <c r="C67" s="12">
        <v>3.2638888888888891E-2</v>
      </c>
      <c r="D67" t="s">
        <v>218</v>
      </c>
      <c r="E67" t="s">
        <v>31</v>
      </c>
      <c r="F67">
        <v>66</v>
      </c>
      <c r="G67" t="s">
        <v>200</v>
      </c>
      <c r="H67" t="s">
        <v>38</v>
      </c>
      <c r="I67" t="s">
        <v>8</v>
      </c>
      <c r="K67">
        <v>15</v>
      </c>
      <c r="L67" t="s">
        <v>22</v>
      </c>
      <c r="M67" t="s">
        <v>26</v>
      </c>
    </row>
    <row r="68" spans="1:13" x14ac:dyDescent="0.35">
      <c r="A68" t="s">
        <v>219</v>
      </c>
      <c r="B68" s="11">
        <v>45307</v>
      </c>
      <c r="C68" s="12">
        <v>0.83680555555555558</v>
      </c>
      <c r="D68" t="s">
        <v>220</v>
      </c>
      <c r="E68" t="s">
        <v>31</v>
      </c>
      <c r="F68">
        <v>14</v>
      </c>
      <c r="G68" t="s">
        <v>200</v>
      </c>
      <c r="H68" t="s">
        <v>38</v>
      </c>
      <c r="I68" t="s">
        <v>8</v>
      </c>
      <c r="K68">
        <v>52</v>
      </c>
      <c r="L68" t="s">
        <v>17</v>
      </c>
      <c r="M68" t="s">
        <v>25</v>
      </c>
    </row>
    <row r="69" spans="1:13" x14ac:dyDescent="0.35">
      <c r="A69" t="s">
        <v>221</v>
      </c>
      <c r="B69" s="11">
        <v>45309</v>
      </c>
      <c r="C69" s="12">
        <v>0.40694444444444444</v>
      </c>
      <c r="D69" t="s">
        <v>222</v>
      </c>
      <c r="E69" t="s">
        <v>31</v>
      </c>
      <c r="F69">
        <v>42</v>
      </c>
      <c r="G69" t="s">
        <v>200</v>
      </c>
      <c r="H69" t="s">
        <v>38</v>
      </c>
      <c r="I69" t="s">
        <v>8</v>
      </c>
      <c r="K69">
        <v>57</v>
      </c>
      <c r="L69" t="s">
        <v>20</v>
      </c>
      <c r="M69" t="s">
        <v>25</v>
      </c>
    </row>
    <row r="70" spans="1:13" x14ac:dyDescent="0.35">
      <c r="A70" t="s">
        <v>223</v>
      </c>
      <c r="B70" s="11">
        <v>45312</v>
      </c>
      <c r="C70" s="12">
        <v>0.14374999999999999</v>
      </c>
      <c r="D70" t="s">
        <v>224</v>
      </c>
      <c r="E70" t="s">
        <v>31</v>
      </c>
      <c r="F70">
        <v>28</v>
      </c>
      <c r="G70" t="s">
        <v>200</v>
      </c>
      <c r="H70" t="s">
        <v>38</v>
      </c>
      <c r="I70" t="s">
        <v>8</v>
      </c>
      <c r="K70">
        <v>44</v>
      </c>
      <c r="L70" t="s">
        <v>18</v>
      </c>
      <c r="M70" t="s">
        <v>25</v>
      </c>
    </row>
    <row r="71" spans="1:13" x14ac:dyDescent="0.35">
      <c r="A71" t="s">
        <v>225</v>
      </c>
      <c r="B71" s="11">
        <v>45314</v>
      </c>
      <c r="C71" s="12">
        <v>0.4201388888888889</v>
      </c>
      <c r="D71" t="s">
        <v>226</v>
      </c>
      <c r="E71" t="s">
        <v>31</v>
      </c>
      <c r="F71">
        <v>8</v>
      </c>
      <c r="G71" t="s">
        <v>200</v>
      </c>
      <c r="H71" t="s">
        <v>38</v>
      </c>
      <c r="I71" t="s">
        <v>8</v>
      </c>
      <c r="K71">
        <v>53</v>
      </c>
      <c r="L71" t="s">
        <v>16</v>
      </c>
      <c r="M71" t="s">
        <v>25</v>
      </c>
    </row>
    <row r="72" spans="1:13" x14ac:dyDescent="0.35">
      <c r="A72" t="s">
        <v>227</v>
      </c>
      <c r="B72" s="11">
        <v>45316</v>
      </c>
      <c r="C72" s="12">
        <v>9.8611111111111108E-2</v>
      </c>
      <c r="D72" t="s">
        <v>228</v>
      </c>
      <c r="E72" t="s">
        <v>31</v>
      </c>
      <c r="F72">
        <v>11</v>
      </c>
      <c r="G72" t="s">
        <v>200</v>
      </c>
      <c r="H72" t="s">
        <v>38</v>
      </c>
      <c r="I72" t="s">
        <v>8</v>
      </c>
      <c r="K72">
        <v>58</v>
      </c>
      <c r="L72" t="s">
        <v>17</v>
      </c>
      <c r="M72" t="s">
        <v>25</v>
      </c>
    </row>
    <row r="73" spans="1:13" x14ac:dyDescent="0.35">
      <c r="A73" t="s">
        <v>229</v>
      </c>
      <c r="B73" s="11">
        <v>45318</v>
      </c>
      <c r="C73" s="12">
        <v>0.80972222222222223</v>
      </c>
      <c r="D73" t="s">
        <v>230</v>
      </c>
      <c r="E73" t="s">
        <v>31</v>
      </c>
      <c r="F73">
        <v>8</v>
      </c>
      <c r="G73" t="s">
        <v>200</v>
      </c>
      <c r="H73" t="s">
        <v>38</v>
      </c>
      <c r="I73" t="s">
        <v>8</v>
      </c>
      <c r="K73">
        <v>33</v>
      </c>
      <c r="L73" t="s">
        <v>16</v>
      </c>
      <c r="M73" t="s">
        <v>25</v>
      </c>
    </row>
    <row r="74" spans="1:13" x14ac:dyDescent="0.35">
      <c r="A74" t="s">
        <v>231</v>
      </c>
      <c r="B74" s="11">
        <v>45292</v>
      </c>
      <c r="C74" s="12">
        <v>0.81736111111111109</v>
      </c>
      <c r="D74" t="s">
        <v>232</v>
      </c>
      <c r="E74" t="s">
        <v>31</v>
      </c>
      <c r="F74">
        <v>37</v>
      </c>
      <c r="G74" t="s">
        <v>233</v>
      </c>
      <c r="H74" t="s">
        <v>38</v>
      </c>
      <c r="I74" t="s">
        <v>8</v>
      </c>
      <c r="K74">
        <v>55</v>
      </c>
      <c r="L74" t="s">
        <v>19</v>
      </c>
      <c r="M74" t="s">
        <v>25</v>
      </c>
    </row>
    <row r="75" spans="1:13" x14ac:dyDescent="0.35">
      <c r="A75" t="s">
        <v>234</v>
      </c>
      <c r="B75" s="11">
        <v>45297</v>
      </c>
      <c r="C75" s="12">
        <v>0.86111111111111116</v>
      </c>
      <c r="D75" t="s">
        <v>235</v>
      </c>
      <c r="E75" t="s">
        <v>31</v>
      </c>
      <c r="F75">
        <v>34</v>
      </c>
      <c r="G75" t="s">
        <v>233</v>
      </c>
      <c r="H75" t="s">
        <v>38</v>
      </c>
      <c r="I75" t="s">
        <v>8</v>
      </c>
      <c r="K75">
        <v>40</v>
      </c>
      <c r="L75" t="s">
        <v>19</v>
      </c>
      <c r="M75" t="s">
        <v>25</v>
      </c>
    </row>
    <row r="76" spans="1:13" x14ac:dyDescent="0.35">
      <c r="A76" t="s">
        <v>236</v>
      </c>
      <c r="B76" s="11">
        <v>45301</v>
      </c>
      <c r="C76" s="12">
        <v>0.56041666666666667</v>
      </c>
      <c r="D76" t="s">
        <v>237</v>
      </c>
      <c r="E76" t="s">
        <v>31</v>
      </c>
      <c r="F76">
        <v>26</v>
      </c>
      <c r="G76" t="s">
        <v>233</v>
      </c>
      <c r="H76" t="s">
        <v>38</v>
      </c>
      <c r="I76" t="s">
        <v>8</v>
      </c>
      <c r="K76">
        <v>42</v>
      </c>
      <c r="L76" t="s">
        <v>18</v>
      </c>
      <c r="M76" t="s">
        <v>25</v>
      </c>
    </row>
    <row r="77" spans="1:13" x14ac:dyDescent="0.35">
      <c r="A77" t="s">
        <v>238</v>
      </c>
      <c r="B77" s="11">
        <v>45304</v>
      </c>
      <c r="C77" s="12">
        <v>0.72847222222222219</v>
      </c>
      <c r="D77" t="s">
        <v>239</v>
      </c>
      <c r="E77" t="s">
        <v>31</v>
      </c>
      <c r="F77">
        <v>24</v>
      </c>
      <c r="G77" t="s">
        <v>233</v>
      </c>
      <c r="H77" t="s">
        <v>38</v>
      </c>
      <c r="I77" t="s">
        <v>8</v>
      </c>
      <c r="K77">
        <v>51</v>
      </c>
      <c r="L77" t="s">
        <v>18</v>
      </c>
      <c r="M77" t="s">
        <v>25</v>
      </c>
    </row>
    <row r="78" spans="1:13" x14ac:dyDescent="0.35">
      <c r="A78" t="s">
        <v>240</v>
      </c>
      <c r="B78" s="11">
        <v>45293</v>
      </c>
      <c r="C78" s="12">
        <v>0.71250000000000002</v>
      </c>
      <c r="D78" t="s">
        <v>241</v>
      </c>
      <c r="E78" t="s">
        <v>30</v>
      </c>
      <c r="F78">
        <v>26</v>
      </c>
      <c r="G78" t="s">
        <v>233</v>
      </c>
      <c r="H78" t="s">
        <v>38</v>
      </c>
      <c r="I78" t="s">
        <v>8</v>
      </c>
      <c r="K78">
        <v>49</v>
      </c>
      <c r="L78" t="s">
        <v>18</v>
      </c>
      <c r="M78" t="s">
        <v>25</v>
      </c>
    </row>
    <row r="79" spans="1:13" x14ac:dyDescent="0.35">
      <c r="A79" t="s">
        <v>242</v>
      </c>
      <c r="B79" s="11">
        <v>45299</v>
      </c>
      <c r="C79" s="12">
        <v>0.81805555555555554</v>
      </c>
      <c r="D79" t="s">
        <v>243</v>
      </c>
      <c r="E79" t="s">
        <v>30</v>
      </c>
      <c r="F79">
        <v>27</v>
      </c>
      <c r="G79" t="s">
        <v>233</v>
      </c>
      <c r="H79" t="s">
        <v>38</v>
      </c>
      <c r="I79" t="s">
        <v>8</v>
      </c>
      <c r="K79">
        <v>55</v>
      </c>
      <c r="L79" t="s">
        <v>18</v>
      </c>
      <c r="M79" t="s">
        <v>25</v>
      </c>
    </row>
    <row r="80" spans="1:13" x14ac:dyDescent="0.35">
      <c r="A80" t="s">
        <v>244</v>
      </c>
      <c r="B80" s="11">
        <v>45300</v>
      </c>
      <c r="C80" s="12">
        <v>0.91666666666666663</v>
      </c>
      <c r="D80" t="s">
        <v>245</v>
      </c>
      <c r="E80" t="s">
        <v>30</v>
      </c>
      <c r="F80">
        <v>29</v>
      </c>
      <c r="G80" t="s">
        <v>233</v>
      </c>
      <c r="H80" t="s">
        <v>38</v>
      </c>
      <c r="I80" t="s">
        <v>8</v>
      </c>
      <c r="K80">
        <v>13</v>
      </c>
      <c r="L80" t="s">
        <v>18</v>
      </c>
      <c r="M80" t="s">
        <v>26</v>
      </c>
    </row>
    <row r="81" spans="1:13" x14ac:dyDescent="0.35">
      <c r="A81" t="s">
        <v>246</v>
      </c>
      <c r="B81" s="11">
        <v>45302</v>
      </c>
      <c r="C81" s="12">
        <v>0.86736111111111114</v>
      </c>
      <c r="D81" t="s">
        <v>247</v>
      </c>
      <c r="E81" t="s">
        <v>30</v>
      </c>
      <c r="F81">
        <v>26</v>
      </c>
      <c r="G81" t="s">
        <v>233</v>
      </c>
      <c r="H81" t="s">
        <v>38</v>
      </c>
      <c r="I81" t="s">
        <v>8</v>
      </c>
      <c r="K81">
        <v>14</v>
      </c>
      <c r="L81" t="s">
        <v>18</v>
      </c>
      <c r="M81" t="s">
        <v>26</v>
      </c>
    </row>
    <row r="82" spans="1:13" x14ac:dyDescent="0.35">
      <c r="A82" t="s">
        <v>248</v>
      </c>
      <c r="B82" s="11">
        <v>45306</v>
      </c>
      <c r="C82" s="12">
        <v>0.60972222222222228</v>
      </c>
      <c r="D82" t="s">
        <v>249</v>
      </c>
      <c r="E82" t="s">
        <v>30</v>
      </c>
      <c r="F82">
        <v>51</v>
      </c>
      <c r="G82" t="s">
        <v>233</v>
      </c>
      <c r="H82" t="s">
        <v>38</v>
      </c>
      <c r="I82" t="s">
        <v>8</v>
      </c>
      <c r="K82">
        <v>38</v>
      </c>
      <c r="L82" t="s">
        <v>21</v>
      </c>
      <c r="M82" t="s">
        <v>25</v>
      </c>
    </row>
    <row r="83" spans="1:13" x14ac:dyDescent="0.35">
      <c r="A83" t="s">
        <v>250</v>
      </c>
      <c r="B83" s="11">
        <v>45313</v>
      </c>
      <c r="C83" s="12">
        <v>0.52569444444444446</v>
      </c>
      <c r="D83" t="s">
        <v>251</v>
      </c>
      <c r="E83" t="s">
        <v>30</v>
      </c>
      <c r="F83">
        <v>44</v>
      </c>
      <c r="G83" t="s">
        <v>233</v>
      </c>
      <c r="H83" t="s">
        <v>38</v>
      </c>
      <c r="I83" t="s">
        <v>8</v>
      </c>
      <c r="K83">
        <v>30</v>
      </c>
      <c r="L83" t="s">
        <v>20</v>
      </c>
      <c r="M83" t="s">
        <v>26</v>
      </c>
    </row>
    <row r="84" spans="1:13" x14ac:dyDescent="0.35">
      <c r="A84" t="s">
        <v>252</v>
      </c>
      <c r="B84" s="11">
        <v>45315</v>
      </c>
      <c r="C84" s="12">
        <v>0.49722222222222223</v>
      </c>
      <c r="D84" t="s">
        <v>253</v>
      </c>
      <c r="E84" t="s">
        <v>30</v>
      </c>
      <c r="F84">
        <v>75</v>
      </c>
      <c r="G84" t="s">
        <v>233</v>
      </c>
      <c r="H84" t="s">
        <v>38</v>
      </c>
      <c r="I84" t="s">
        <v>8</v>
      </c>
      <c r="K84">
        <v>15</v>
      </c>
      <c r="L84" t="s">
        <v>23</v>
      </c>
      <c r="M84" t="s">
        <v>26</v>
      </c>
    </row>
    <row r="85" spans="1:13" x14ac:dyDescent="0.35">
      <c r="A85" t="s">
        <v>254</v>
      </c>
      <c r="B85" s="11">
        <v>45317</v>
      </c>
      <c r="C85" s="12">
        <v>0.85138888888888886</v>
      </c>
      <c r="D85" t="s">
        <v>255</v>
      </c>
      <c r="E85" t="s">
        <v>30</v>
      </c>
      <c r="F85">
        <v>72</v>
      </c>
      <c r="G85" t="s">
        <v>233</v>
      </c>
      <c r="H85" t="s">
        <v>38</v>
      </c>
      <c r="I85" t="s">
        <v>8</v>
      </c>
      <c r="K85">
        <v>10</v>
      </c>
      <c r="L85" t="s">
        <v>23</v>
      </c>
      <c r="M85" t="s">
        <v>26</v>
      </c>
    </row>
    <row r="86" spans="1:13" x14ac:dyDescent="0.35">
      <c r="A86" t="s">
        <v>256</v>
      </c>
      <c r="B86" s="11">
        <v>45319</v>
      </c>
      <c r="C86" s="12">
        <v>0.11944444444444445</v>
      </c>
      <c r="D86" t="s">
        <v>257</v>
      </c>
      <c r="E86" t="s">
        <v>30</v>
      </c>
      <c r="F86">
        <v>5</v>
      </c>
      <c r="G86" t="s">
        <v>233</v>
      </c>
      <c r="H86" t="s">
        <v>38</v>
      </c>
      <c r="I86" t="s">
        <v>8</v>
      </c>
      <c r="K86">
        <v>50</v>
      </c>
      <c r="L86" t="s">
        <v>16</v>
      </c>
      <c r="M86" t="s">
        <v>25</v>
      </c>
    </row>
    <row r="87" spans="1:13" x14ac:dyDescent="0.35">
      <c r="A87" t="s">
        <v>258</v>
      </c>
      <c r="B87" s="11">
        <v>45320</v>
      </c>
      <c r="C87" s="12">
        <v>0.28888888888888886</v>
      </c>
      <c r="D87" t="s">
        <v>259</v>
      </c>
      <c r="E87" t="s">
        <v>30</v>
      </c>
      <c r="F87">
        <v>27</v>
      </c>
      <c r="G87" t="s">
        <v>233</v>
      </c>
      <c r="H87" t="s">
        <v>38</v>
      </c>
      <c r="I87" t="s">
        <v>8</v>
      </c>
      <c r="K87">
        <v>58</v>
      </c>
      <c r="L87" t="s">
        <v>18</v>
      </c>
      <c r="M87" t="s">
        <v>25</v>
      </c>
    </row>
    <row r="88" spans="1:13" x14ac:dyDescent="0.35">
      <c r="A88" t="s">
        <v>260</v>
      </c>
      <c r="B88" s="11">
        <v>45299</v>
      </c>
      <c r="C88" s="12">
        <v>0.99652777777777779</v>
      </c>
      <c r="D88" t="s">
        <v>261</v>
      </c>
      <c r="E88" t="s">
        <v>30</v>
      </c>
      <c r="F88">
        <v>37</v>
      </c>
      <c r="G88" t="s">
        <v>262</v>
      </c>
      <c r="H88" t="s">
        <v>38</v>
      </c>
      <c r="I88" t="s">
        <v>8</v>
      </c>
      <c r="K88">
        <v>49</v>
      </c>
      <c r="L88" t="s">
        <v>19</v>
      </c>
      <c r="M88" t="s">
        <v>25</v>
      </c>
    </row>
    <row r="89" spans="1:13" x14ac:dyDescent="0.35">
      <c r="A89" t="s">
        <v>263</v>
      </c>
      <c r="B89" s="11">
        <v>45310</v>
      </c>
      <c r="C89" s="12">
        <v>0.69097222222222221</v>
      </c>
      <c r="D89" t="s">
        <v>264</v>
      </c>
      <c r="E89" t="s">
        <v>30</v>
      </c>
      <c r="F89">
        <v>16</v>
      </c>
      <c r="G89" t="s">
        <v>262</v>
      </c>
      <c r="H89" t="s">
        <v>38</v>
      </c>
      <c r="I89" t="s">
        <v>8</v>
      </c>
      <c r="K89">
        <v>60</v>
      </c>
      <c r="L89" t="s">
        <v>17</v>
      </c>
      <c r="M89" t="s">
        <v>25</v>
      </c>
    </row>
    <row r="90" spans="1:13" x14ac:dyDescent="0.35">
      <c r="A90" t="s">
        <v>265</v>
      </c>
      <c r="B90" s="11">
        <v>45316</v>
      </c>
      <c r="C90" s="12">
        <v>0.37361111111111112</v>
      </c>
      <c r="D90" t="s">
        <v>266</v>
      </c>
      <c r="E90" t="s">
        <v>30</v>
      </c>
      <c r="F90">
        <v>12</v>
      </c>
      <c r="G90" t="s">
        <v>262</v>
      </c>
      <c r="H90" t="s">
        <v>38</v>
      </c>
      <c r="I90" t="s">
        <v>8</v>
      </c>
      <c r="K90">
        <v>50</v>
      </c>
      <c r="L90" t="s">
        <v>17</v>
      </c>
      <c r="M90" t="s">
        <v>25</v>
      </c>
    </row>
    <row r="91" spans="1:13" x14ac:dyDescent="0.35">
      <c r="A91" t="s">
        <v>267</v>
      </c>
      <c r="B91" s="11">
        <v>45295</v>
      </c>
      <c r="C91" s="12">
        <v>0.57708333333333328</v>
      </c>
      <c r="D91" t="s">
        <v>268</v>
      </c>
      <c r="E91" t="s">
        <v>31</v>
      </c>
      <c r="F91">
        <v>11</v>
      </c>
      <c r="G91" t="s">
        <v>262</v>
      </c>
      <c r="H91" t="s">
        <v>38</v>
      </c>
      <c r="I91" t="s">
        <v>8</v>
      </c>
      <c r="K91">
        <v>25</v>
      </c>
      <c r="L91" t="s">
        <v>17</v>
      </c>
      <c r="M91" t="s">
        <v>26</v>
      </c>
    </row>
    <row r="92" spans="1:13" x14ac:dyDescent="0.35">
      <c r="A92" t="s">
        <v>269</v>
      </c>
      <c r="B92" s="11">
        <v>45296</v>
      </c>
      <c r="C92" s="12">
        <v>0.84583333333333333</v>
      </c>
      <c r="D92" t="s">
        <v>270</v>
      </c>
      <c r="E92" t="s">
        <v>31</v>
      </c>
      <c r="F92">
        <v>56</v>
      </c>
      <c r="G92" t="s">
        <v>262</v>
      </c>
      <c r="H92" t="s">
        <v>38</v>
      </c>
      <c r="I92" t="s">
        <v>8</v>
      </c>
      <c r="K92">
        <v>47</v>
      </c>
      <c r="L92" t="s">
        <v>21</v>
      </c>
      <c r="M92" t="s">
        <v>25</v>
      </c>
    </row>
    <row r="93" spans="1:13" x14ac:dyDescent="0.35">
      <c r="A93" t="s">
        <v>271</v>
      </c>
      <c r="B93" s="11">
        <v>45297</v>
      </c>
      <c r="C93" s="12">
        <v>4.027777777777778E-2</v>
      </c>
      <c r="D93" t="s">
        <v>272</v>
      </c>
      <c r="E93" t="s">
        <v>31</v>
      </c>
      <c r="F93">
        <v>32</v>
      </c>
      <c r="G93" t="s">
        <v>262</v>
      </c>
      <c r="H93" t="s">
        <v>38</v>
      </c>
      <c r="I93" t="s">
        <v>8</v>
      </c>
      <c r="K93">
        <v>57</v>
      </c>
      <c r="L93" t="s">
        <v>19</v>
      </c>
      <c r="M93" t="s">
        <v>25</v>
      </c>
    </row>
    <row r="94" spans="1:13" x14ac:dyDescent="0.35">
      <c r="A94" t="s">
        <v>273</v>
      </c>
      <c r="B94" s="11">
        <v>45298</v>
      </c>
      <c r="C94" s="12">
        <v>0.42986111111111114</v>
      </c>
      <c r="D94" t="s">
        <v>274</v>
      </c>
      <c r="E94" t="s">
        <v>31</v>
      </c>
      <c r="F94">
        <v>64</v>
      </c>
      <c r="G94" t="s">
        <v>262</v>
      </c>
      <c r="H94" t="s">
        <v>38</v>
      </c>
      <c r="I94" t="s">
        <v>8</v>
      </c>
      <c r="K94">
        <v>31</v>
      </c>
      <c r="L94" t="s">
        <v>22</v>
      </c>
      <c r="M94" t="s">
        <v>25</v>
      </c>
    </row>
    <row r="95" spans="1:13" x14ac:dyDescent="0.35">
      <c r="A95" t="s">
        <v>275</v>
      </c>
      <c r="B95" s="11">
        <v>45303</v>
      </c>
      <c r="C95" s="12">
        <v>0.97569444444444442</v>
      </c>
      <c r="D95" t="s">
        <v>276</v>
      </c>
      <c r="E95" t="s">
        <v>31</v>
      </c>
      <c r="F95">
        <v>61</v>
      </c>
      <c r="G95" t="s">
        <v>262</v>
      </c>
      <c r="H95" t="s">
        <v>38</v>
      </c>
      <c r="I95" t="s">
        <v>8</v>
      </c>
      <c r="K95">
        <v>23</v>
      </c>
      <c r="L95" t="s">
        <v>22</v>
      </c>
      <c r="M95" t="s">
        <v>26</v>
      </c>
    </row>
    <row r="96" spans="1:13" x14ac:dyDescent="0.35">
      <c r="A96" t="s">
        <v>277</v>
      </c>
      <c r="B96" s="11">
        <v>45308</v>
      </c>
      <c r="C96" s="12">
        <v>0.68194444444444446</v>
      </c>
      <c r="D96" t="s">
        <v>278</v>
      </c>
      <c r="E96" t="s">
        <v>31</v>
      </c>
      <c r="F96">
        <v>51</v>
      </c>
      <c r="G96" t="s">
        <v>262</v>
      </c>
      <c r="H96" t="s">
        <v>38</v>
      </c>
      <c r="I96" t="s">
        <v>8</v>
      </c>
      <c r="K96">
        <v>58</v>
      </c>
      <c r="L96" t="s">
        <v>21</v>
      </c>
      <c r="M96" t="s">
        <v>25</v>
      </c>
    </row>
    <row r="97" spans="1:13" x14ac:dyDescent="0.35">
      <c r="A97" t="s">
        <v>279</v>
      </c>
      <c r="B97" s="11">
        <v>45313</v>
      </c>
      <c r="C97" s="12">
        <v>0.24097222222222223</v>
      </c>
      <c r="D97" t="s">
        <v>280</v>
      </c>
      <c r="E97" t="s">
        <v>31</v>
      </c>
      <c r="F97">
        <v>26</v>
      </c>
      <c r="G97" t="s">
        <v>262</v>
      </c>
      <c r="H97" t="s">
        <v>38</v>
      </c>
      <c r="I97" t="s">
        <v>8</v>
      </c>
      <c r="K97">
        <v>13</v>
      </c>
      <c r="L97" t="s">
        <v>18</v>
      </c>
      <c r="M97" t="s">
        <v>26</v>
      </c>
    </row>
    <row r="98" spans="1:13" x14ac:dyDescent="0.35">
      <c r="A98" t="s">
        <v>281</v>
      </c>
      <c r="B98" s="11">
        <v>45314</v>
      </c>
      <c r="C98" s="12">
        <v>0.89166666666666672</v>
      </c>
      <c r="D98" t="s">
        <v>282</v>
      </c>
      <c r="E98" t="s">
        <v>31</v>
      </c>
      <c r="F98">
        <v>40</v>
      </c>
      <c r="G98" t="s">
        <v>262</v>
      </c>
      <c r="H98" t="s">
        <v>38</v>
      </c>
      <c r="I98" t="s">
        <v>8</v>
      </c>
      <c r="K98">
        <v>51</v>
      </c>
      <c r="L98" t="s">
        <v>19</v>
      </c>
      <c r="M98" t="s">
        <v>25</v>
      </c>
    </row>
    <row r="99" spans="1:13" x14ac:dyDescent="0.35">
      <c r="A99" t="s">
        <v>283</v>
      </c>
      <c r="B99" s="11">
        <v>45315</v>
      </c>
      <c r="C99" s="12">
        <v>0.88888888888888884</v>
      </c>
      <c r="D99" t="s">
        <v>284</v>
      </c>
      <c r="E99" t="s">
        <v>31</v>
      </c>
      <c r="F99">
        <v>59</v>
      </c>
      <c r="G99" t="s">
        <v>262</v>
      </c>
      <c r="H99" t="s">
        <v>38</v>
      </c>
      <c r="I99" t="s">
        <v>8</v>
      </c>
      <c r="K99">
        <v>14</v>
      </c>
      <c r="L99" t="s">
        <v>21</v>
      </c>
      <c r="M99" t="s">
        <v>26</v>
      </c>
    </row>
    <row r="100" spans="1:13" x14ac:dyDescent="0.35">
      <c r="A100" t="s">
        <v>285</v>
      </c>
      <c r="B100" s="11">
        <v>45316</v>
      </c>
      <c r="C100" s="12">
        <v>0.29166666666666669</v>
      </c>
      <c r="D100" t="s">
        <v>286</v>
      </c>
      <c r="E100" t="s">
        <v>31</v>
      </c>
      <c r="F100">
        <v>7</v>
      </c>
      <c r="G100" t="s">
        <v>262</v>
      </c>
      <c r="H100" t="s">
        <v>38</v>
      </c>
      <c r="I100" t="s">
        <v>8</v>
      </c>
      <c r="K100">
        <v>55</v>
      </c>
      <c r="L100" t="s">
        <v>16</v>
      </c>
      <c r="M100" t="s">
        <v>25</v>
      </c>
    </row>
    <row r="101" spans="1:13" x14ac:dyDescent="0.35">
      <c r="A101" t="s">
        <v>287</v>
      </c>
      <c r="B101" s="11">
        <v>45296</v>
      </c>
      <c r="C101" s="12">
        <v>0.98750000000000004</v>
      </c>
      <c r="D101" t="s">
        <v>288</v>
      </c>
      <c r="E101" t="s">
        <v>31</v>
      </c>
      <c r="F101">
        <v>8</v>
      </c>
      <c r="G101" t="s">
        <v>289</v>
      </c>
      <c r="H101" t="s">
        <v>38</v>
      </c>
      <c r="I101" t="s">
        <v>8</v>
      </c>
      <c r="K101">
        <v>56</v>
      </c>
      <c r="L101" t="s">
        <v>16</v>
      </c>
      <c r="M101" t="s">
        <v>25</v>
      </c>
    </row>
    <row r="102" spans="1:13" x14ac:dyDescent="0.35">
      <c r="A102" t="s">
        <v>290</v>
      </c>
      <c r="B102" s="11">
        <v>45308</v>
      </c>
      <c r="C102" s="12">
        <v>0.70277777777777772</v>
      </c>
      <c r="D102" t="s">
        <v>291</v>
      </c>
      <c r="E102" t="s">
        <v>30</v>
      </c>
      <c r="F102">
        <v>69</v>
      </c>
      <c r="G102" t="s">
        <v>289</v>
      </c>
      <c r="H102" t="s">
        <v>38</v>
      </c>
      <c r="I102" t="s">
        <v>8</v>
      </c>
      <c r="K102">
        <v>31</v>
      </c>
      <c r="L102" t="s">
        <v>22</v>
      </c>
      <c r="M102" t="s">
        <v>25</v>
      </c>
    </row>
    <row r="103" spans="1:13" x14ac:dyDescent="0.35">
      <c r="A103" t="s">
        <v>292</v>
      </c>
      <c r="B103" s="11">
        <v>45309</v>
      </c>
      <c r="C103" s="12">
        <v>0.84375</v>
      </c>
      <c r="D103" t="s">
        <v>293</v>
      </c>
      <c r="E103" t="s">
        <v>30</v>
      </c>
      <c r="F103">
        <v>37</v>
      </c>
      <c r="G103" t="s">
        <v>289</v>
      </c>
      <c r="H103" t="s">
        <v>38</v>
      </c>
      <c r="I103" t="s">
        <v>8</v>
      </c>
      <c r="K103">
        <v>39</v>
      </c>
      <c r="L103" t="s">
        <v>19</v>
      </c>
      <c r="M103" t="s">
        <v>25</v>
      </c>
    </row>
    <row r="104" spans="1:13" x14ac:dyDescent="0.35">
      <c r="A104" t="s">
        <v>294</v>
      </c>
      <c r="B104" s="11">
        <v>45300</v>
      </c>
      <c r="C104" s="12">
        <v>0.5493055555555556</v>
      </c>
      <c r="D104" t="s">
        <v>295</v>
      </c>
      <c r="E104" t="s">
        <v>30</v>
      </c>
      <c r="F104">
        <v>27</v>
      </c>
      <c r="G104" t="s">
        <v>296</v>
      </c>
      <c r="H104" t="s">
        <v>38</v>
      </c>
      <c r="I104" t="s">
        <v>8</v>
      </c>
      <c r="K104">
        <v>38</v>
      </c>
      <c r="L104" t="s">
        <v>18</v>
      </c>
      <c r="M104" t="s">
        <v>25</v>
      </c>
    </row>
    <row r="105" spans="1:13" x14ac:dyDescent="0.35">
      <c r="A105" t="s">
        <v>297</v>
      </c>
      <c r="B105" s="11">
        <v>45309</v>
      </c>
      <c r="C105" s="12">
        <v>0.72222222222222221</v>
      </c>
      <c r="D105" t="s">
        <v>298</v>
      </c>
      <c r="E105" t="s">
        <v>31</v>
      </c>
      <c r="F105">
        <v>35</v>
      </c>
      <c r="G105" t="s">
        <v>296</v>
      </c>
      <c r="H105" t="s">
        <v>38</v>
      </c>
      <c r="I105" t="s">
        <v>8</v>
      </c>
      <c r="K105">
        <v>58</v>
      </c>
      <c r="L105" t="s">
        <v>19</v>
      </c>
      <c r="M105" t="s">
        <v>25</v>
      </c>
    </row>
    <row r="106" spans="1:13" x14ac:dyDescent="0.35">
      <c r="A106" t="s">
        <v>299</v>
      </c>
      <c r="B106" s="11">
        <v>45314</v>
      </c>
      <c r="C106" s="12">
        <v>0.47638888888888886</v>
      </c>
      <c r="D106" t="s">
        <v>300</v>
      </c>
      <c r="E106" t="s">
        <v>30</v>
      </c>
      <c r="F106">
        <v>15</v>
      </c>
      <c r="G106" t="s">
        <v>296</v>
      </c>
      <c r="H106" t="s">
        <v>38</v>
      </c>
      <c r="I106" t="s">
        <v>8</v>
      </c>
      <c r="K106">
        <v>52</v>
      </c>
      <c r="L106" t="s">
        <v>17</v>
      </c>
      <c r="M106" t="s">
        <v>25</v>
      </c>
    </row>
    <row r="107" spans="1:13" x14ac:dyDescent="0.35">
      <c r="A107" t="s">
        <v>301</v>
      </c>
      <c r="B107" s="11">
        <v>45318</v>
      </c>
      <c r="C107" s="12">
        <v>8.3333333333333332E-3</v>
      </c>
      <c r="D107" t="s">
        <v>302</v>
      </c>
      <c r="E107" t="s">
        <v>31</v>
      </c>
      <c r="F107">
        <v>35</v>
      </c>
      <c r="G107" t="s">
        <v>296</v>
      </c>
      <c r="H107" t="s">
        <v>38</v>
      </c>
      <c r="I107" t="s">
        <v>8</v>
      </c>
      <c r="K107">
        <v>25</v>
      </c>
      <c r="L107" t="s">
        <v>19</v>
      </c>
      <c r="M107" t="s">
        <v>26</v>
      </c>
    </row>
    <row r="108" spans="1:13" x14ac:dyDescent="0.35">
      <c r="A108" t="s">
        <v>303</v>
      </c>
      <c r="B108" s="11">
        <v>45320</v>
      </c>
      <c r="C108" s="12">
        <v>0.25347222222222221</v>
      </c>
      <c r="D108" t="s">
        <v>304</v>
      </c>
      <c r="E108" t="s">
        <v>31</v>
      </c>
      <c r="F108">
        <v>9</v>
      </c>
      <c r="G108" t="s">
        <v>296</v>
      </c>
      <c r="H108" t="s">
        <v>38</v>
      </c>
      <c r="I108" t="s">
        <v>8</v>
      </c>
      <c r="K108">
        <v>44</v>
      </c>
      <c r="L108" t="s">
        <v>16</v>
      </c>
      <c r="M108" t="s">
        <v>25</v>
      </c>
    </row>
    <row r="109" spans="1:13" x14ac:dyDescent="0.35">
      <c r="A109" t="s">
        <v>305</v>
      </c>
      <c r="B109" s="11">
        <v>45293</v>
      </c>
      <c r="C109" s="12">
        <v>0.74027777777777781</v>
      </c>
      <c r="D109" t="s">
        <v>306</v>
      </c>
      <c r="E109" t="s">
        <v>31</v>
      </c>
      <c r="F109">
        <v>47</v>
      </c>
      <c r="G109" t="s">
        <v>296</v>
      </c>
      <c r="H109" t="s">
        <v>36</v>
      </c>
      <c r="I109" t="s">
        <v>8</v>
      </c>
      <c r="K109">
        <v>32</v>
      </c>
      <c r="L109" t="s">
        <v>20</v>
      </c>
      <c r="M109" t="s">
        <v>25</v>
      </c>
    </row>
    <row r="110" spans="1:13" x14ac:dyDescent="0.35">
      <c r="A110" t="s">
        <v>307</v>
      </c>
      <c r="B110" s="11">
        <v>45303</v>
      </c>
      <c r="C110" s="12">
        <v>0.28888888888888886</v>
      </c>
      <c r="D110" t="s">
        <v>308</v>
      </c>
      <c r="E110" t="s">
        <v>31</v>
      </c>
      <c r="F110">
        <v>68</v>
      </c>
      <c r="G110" t="s">
        <v>296</v>
      </c>
      <c r="H110" t="s">
        <v>36</v>
      </c>
      <c r="I110" t="s">
        <v>8</v>
      </c>
      <c r="K110">
        <v>33</v>
      </c>
      <c r="L110" t="s">
        <v>22</v>
      </c>
      <c r="M110" t="s">
        <v>25</v>
      </c>
    </row>
    <row r="111" spans="1:13" x14ac:dyDescent="0.35">
      <c r="A111" t="s">
        <v>309</v>
      </c>
      <c r="B111" s="11">
        <v>45310</v>
      </c>
      <c r="C111" s="12">
        <v>0.72499999999999998</v>
      </c>
      <c r="D111" t="s">
        <v>310</v>
      </c>
      <c r="E111" t="s">
        <v>31</v>
      </c>
      <c r="F111">
        <v>79</v>
      </c>
      <c r="G111" t="s">
        <v>289</v>
      </c>
      <c r="H111" t="s">
        <v>36</v>
      </c>
      <c r="I111" t="s">
        <v>8</v>
      </c>
      <c r="K111">
        <v>18</v>
      </c>
      <c r="L111" t="s">
        <v>23</v>
      </c>
      <c r="M111" t="s">
        <v>26</v>
      </c>
    </row>
    <row r="112" spans="1:13" x14ac:dyDescent="0.35">
      <c r="A112" t="s">
        <v>311</v>
      </c>
      <c r="B112" s="11">
        <v>45318</v>
      </c>
      <c r="C112" s="12">
        <v>0.41319444444444442</v>
      </c>
      <c r="D112" t="s">
        <v>312</v>
      </c>
      <c r="E112" t="s">
        <v>31</v>
      </c>
      <c r="F112">
        <v>65</v>
      </c>
      <c r="G112" t="s">
        <v>289</v>
      </c>
      <c r="H112" t="s">
        <v>36</v>
      </c>
      <c r="I112" t="s">
        <v>8</v>
      </c>
      <c r="K112">
        <v>51</v>
      </c>
      <c r="L112" t="s">
        <v>22</v>
      </c>
      <c r="M112" t="s">
        <v>25</v>
      </c>
    </row>
    <row r="113" spans="1:13" x14ac:dyDescent="0.35">
      <c r="A113" t="s">
        <v>313</v>
      </c>
      <c r="B113" s="11">
        <v>45295</v>
      </c>
      <c r="C113" s="12">
        <v>4.791666666666667E-2</v>
      </c>
      <c r="D113" t="s">
        <v>314</v>
      </c>
      <c r="E113" t="s">
        <v>30</v>
      </c>
      <c r="F113">
        <v>52</v>
      </c>
      <c r="G113" t="s">
        <v>262</v>
      </c>
      <c r="H113" t="s">
        <v>36</v>
      </c>
      <c r="I113" t="s">
        <v>8</v>
      </c>
      <c r="K113">
        <v>14</v>
      </c>
      <c r="L113" t="s">
        <v>21</v>
      </c>
      <c r="M113" t="s">
        <v>26</v>
      </c>
    </row>
    <row r="114" spans="1:13" x14ac:dyDescent="0.35">
      <c r="A114" t="s">
        <v>315</v>
      </c>
      <c r="B114" s="11">
        <v>45303</v>
      </c>
      <c r="C114" s="12">
        <v>0.73888888888888893</v>
      </c>
      <c r="D114" t="s">
        <v>316</v>
      </c>
      <c r="E114" t="s">
        <v>30</v>
      </c>
      <c r="F114">
        <v>75</v>
      </c>
      <c r="G114" t="s">
        <v>262</v>
      </c>
      <c r="H114" t="s">
        <v>36</v>
      </c>
      <c r="I114" t="s">
        <v>8</v>
      </c>
      <c r="K114">
        <v>41</v>
      </c>
      <c r="L114" t="s">
        <v>23</v>
      </c>
      <c r="M114" t="s">
        <v>25</v>
      </c>
    </row>
    <row r="115" spans="1:13" x14ac:dyDescent="0.35">
      <c r="A115" t="s">
        <v>317</v>
      </c>
      <c r="B115" s="11">
        <v>45309</v>
      </c>
      <c r="C115" s="12">
        <v>0.73472222222222228</v>
      </c>
      <c r="D115" t="s">
        <v>318</v>
      </c>
      <c r="E115" t="s">
        <v>30</v>
      </c>
      <c r="F115">
        <v>74</v>
      </c>
      <c r="G115" t="s">
        <v>262</v>
      </c>
      <c r="H115" t="s">
        <v>36</v>
      </c>
      <c r="I115" t="s">
        <v>8</v>
      </c>
      <c r="K115">
        <v>44</v>
      </c>
      <c r="L115" t="s">
        <v>23</v>
      </c>
      <c r="M115" t="s">
        <v>25</v>
      </c>
    </row>
    <row r="116" spans="1:13" x14ac:dyDescent="0.35">
      <c r="A116" t="s">
        <v>319</v>
      </c>
      <c r="B116" s="11">
        <v>45315</v>
      </c>
      <c r="C116" s="12">
        <v>0.81180555555555556</v>
      </c>
      <c r="D116" t="s">
        <v>320</v>
      </c>
      <c r="E116" t="s">
        <v>30</v>
      </c>
      <c r="F116">
        <v>32</v>
      </c>
      <c r="G116" t="s">
        <v>262</v>
      </c>
      <c r="H116" t="s">
        <v>36</v>
      </c>
      <c r="I116" t="s">
        <v>8</v>
      </c>
      <c r="K116">
        <v>15</v>
      </c>
      <c r="L116" t="s">
        <v>19</v>
      </c>
      <c r="M116" t="s">
        <v>26</v>
      </c>
    </row>
    <row r="117" spans="1:13" x14ac:dyDescent="0.35">
      <c r="A117" t="s">
        <v>321</v>
      </c>
      <c r="B117" s="11">
        <v>45321</v>
      </c>
      <c r="C117" s="12">
        <v>0.76597222222222228</v>
      </c>
      <c r="D117" t="s">
        <v>322</v>
      </c>
      <c r="E117" t="s">
        <v>31</v>
      </c>
      <c r="F117">
        <v>72</v>
      </c>
      <c r="G117" t="s">
        <v>262</v>
      </c>
      <c r="H117" t="s">
        <v>36</v>
      </c>
      <c r="I117" t="s">
        <v>8</v>
      </c>
      <c r="K117">
        <v>12</v>
      </c>
      <c r="L117" t="s">
        <v>23</v>
      </c>
      <c r="M117" t="s">
        <v>26</v>
      </c>
    </row>
    <row r="118" spans="1:13" x14ac:dyDescent="0.35">
      <c r="A118" t="s">
        <v>323</v>
      </c>
      <c r="B118" s="11">
        <v>45306</v>
      </c>
      <c r="C118" s="12">
        <v>0.54861111111111116</v>
      </c>
      <c r="D118" t="s">
        <v>324</v>
      </c>
      <c r="E118" t="s">
        <v>30</v>
      </c>
      <c r="F118">
        <v>68</v>
      </c>
      <c r="G118" t="s">
        <v>233</v>
      </c>
      <c r="H118" t="s">
        <v>36</v>
      </c>
      <c r="I118" t="s">
        <v>8</v>
      </c>
      <c r="K118">
        <v>36</v>
      </c>
      <c r="L118" t="s">
        <v>22</v>
      </c>
      <c r="M118" t="s">
        <v>25</v>
      </c>
    </row>
    <row r="119" spans="1:13" x14ac:dyDescent="0.35">
      <c r="A119" t="s">
        <v>325</v>
      </c>
      <c r="B119" s="11">
        <v>45311</v>
      </c>
      <c r="C119" s="12">
        <v>0.26180555555555557</v>
      </c>
      <c r="D119" t="s">
        <v>326</v>
      </c>
      <c r="E119" t="s">
        <v>30</v>
      </c>
      <c r="F119">
        <v>42</v>
      </c>
      <c r="G119" t="s">
        <v>233</v>
      </c>
      <c r="H119" t="s">
        <v>36</v>
      </c>
      <c r="I119" t="s">
        <v>8</v>
      </c>
      <c r="K119">
        <v>23</v>
      </c>
      <c r="L119" t="s">
        <v>20</v>
      </c>
      <c r="M119" t="s">
        <v>26</v>
      </c>
    </row>
    <row r="120" spans="1:13" x14ac:dyDescent="0.35">
      <c r="A120" t="s">
        <v>327</v>
      </c>
      <c r="B120" s="11">
        <v>45292</v>
      </c>
      <c r="C120" s="12">
        <v>0.41875000000000001</v>
      </c>
      <c r="D120" t="s">
        <v>328</v>
      </c>
      <c r="E120" t="s">
        <v>31</v>
      </c>
      <c r="F120">
        <v>6</v>
      </c>
      <c r="G120" t="s">
        <v>233</v>
      </c>
      <c r="H120" t="s">
        <v>36</v>
      </c>
      <c r="I120" t="s">
        <v>8</v>
      </c>
      <c r="K120">
        <v>52</v>
      </c>
      <c r="L120" t="s">
        <v>16</v>
      </c>
      <c r="M120" t="s">
        <v>25</v>
      </c>
    </row>
    <row r="121" spans="1:13" x14ac:dyDescent="0.35">
      <c r="A121" t="s">
        <v>329</v>
      </c>
      <c r="B121" s="11">
        <v>45300</v>
      </c>
      <c r="C121" s="12">
        <v>0.63055555555555554</v>
      </c>
      <c r="D121" t="s">
        <v>330</v>
      </c>
      <c r="E121" t="s">
        <v>31</v>
      </c>
      <c r="F121">
        <v>49</v>
      </c>
      <c r="G121" t="s">
        <v>200</v>
      </c>
      <c r="H121" t="s">
        <v>36</v>
      </c>
      <c r="I121" t="s">
        <v>8</v>
      </c>
      <c r="K121">
        <v>14</v>
      </c>
      <c r="L121" t="s">
        <v>20</v>
      </c>
      <c r="M121" t="s">
        <v>26</v>
      </c>
    </row>
    <row r="122" spans="1:13" x14ac:dyDescent="0.35">
      <c r="A122" t="s">
        <v>331</v>
      </c>
      <c r="B122" s="11">
        <v>45305</v>
      </c>
      <c r="C122" s="12">
        <v>0.63541666666666663</v>
      </c>
      <c r="D122" t="s">
        <v>332</v>
      </c>
      <c r="E122" t="s">
        <v>31</v>
      </c>
      <c r="F122">
        <v>43</v>
      </c>
      <c r="G122" t="s">
        <v>200</v>
      </c>
      <c r="H122" t="s">
        <v>36</v>
      </c>
      <c r="I122" t="s">
        <v>8</v>
      </c>
      <c r="K122">
        <v>49</v>
      </c>
      <c r="L122" t="s">
        <v>20</v>
      </c>
      <c r="M122" t="s">
        <v>25</v>
      </c>
    </row>
    <row r="123" spans="1:13" x14ac:dyDescent="0.35">
      <c r="A123" t="s">
        <v>333</v>
      </c>
      <c r="B123" s="11">
        <v>45307</v>
      </c>
      <c r="C123" s="12">
        <v>0.67291666666666672</v>
      </c>
      <c r="D123" t="s">
        <v>334</v>
      </c>
      <c r="E123" t="s">
        <v>31</v>
      </c>
      <c r="F123">
        <v>79</v>
      </c>
      <c r="G123" t="s">
        <v>200</v>
      </c>
      <c r="H123" t="s">
        <v>36</v>
      </c>
      <c r="I123" t="s">
        <v>8</v>
      </c>
      <c r="K123">
        <v>11</v>
      </c>
      <c r="L123" t="s">
        <v>23</v>
      </c>
      <c r="M123" t="s">
        <v>26</v>
      </c>
    </row>
    <row r="124" spans="1:13" x14ac:dyDescent="0.35">
      <c r="A124" t="s">
        <v>335</v>
      </c>
      <c r="B124" s="11">
        <v>45309</v>
      </c>
      <c r="C124" s="12">
        <v>0.45694444444444443</v>
      </c>
      <c r="D124" t="s">
        <v>336</v>
      </c>
      <c r="E124" t="s">
        <v>31</v>
      </c>
      <c r="F124">
        <v>31</v>
      </c>
      <c r="G124" t="s">
        <v>200</v>
      </c>
      <c r="H124" t="s">
        <v>36</v>
      </c>
      <c r="I124" t="s">
        <v>8</v>
      </c>
      <c r="K124">
        <v>28</v>
      </c>
      <c r="L124" t="s">
        <v>19</v>
      </c>
      <c r="M124" t="s">
        <v>26</v>
      </c>
    </row>
    <row r="125" spans="1:13" x14ac:dyDescent="0.35">
      <c r="A125" t="s">
        <v>337</v>
      </c>
      <c r="B125" s="11">
        <v>45309</v>
      </c>
      <c r="C125" s="12">
        <v>0.60833333333333328</v>
      </c>
      <c r="D125" t="s">
        <v>338</v>
      </c>
      <c r="E125" t="s">
        <v>31</v>
      </c>
      <c r="F125">
        <v>2</v>
      </c>
      <c r="G125" t="s">
        <v>200</v>
      </c>
      <c r="H125" t="s">
        <v>36</v>
      </c>
      <c r="I125" t="s">
        <v>8</v>
      </c>
      <c r="K125">
        <v>33</v>
      </c>
      <c r="L125" t="s">
        <v>16</v>
      </c>
      <c r="M125" t="s">
        <v>25</v>
      </c>
    </row>
    <row r="126" spans="1:13" x14ac:dyDescent="0.35">
      <c r="A126" t="s">
        <v>339</v>
      </c>
      <c r="B126" s="11">
        <v>45313</v>
      </c>
      <c r="C126" s="12">
        <v>0.2</v>
      </c>
      <c r="D126" t="s">
        <v>340</v>
      </c>
      <c r="E126" t="s">
        <v>30</v>
      </c>
      <c r="F126">
        <v>76</v>
      </c>
      <c r="G126" t="s">
        <v>200</v>
      </c>
      <c r="H126" t="s">
        <v>36</v>
      </c>
      <c r="I126" t="s">
        <v>8</v>
      </c>
      <c r="K126">
        <v>40</v>
      </c>
      <c r="L126" t="s">
        <v>23</v>
      </c>
      <c r="M126" t="s">
        <v>25</v>
      </c>
    </row>
    <row r="127" spans="1:13" x14ac:dyDescent="0.35">
      <c r="A127" t="s">
        <v>341</v>
      </c>
      <c r="B127" s="11">
        <v>45316</v>
      </c>
      <c r="C127" s="12">
        <v>2.6388888888888889E-2</v>
      </c>
      <c r="D127" t="s">
        <v>342</v>
      </c>
      <c r="E127" t="s">
        <v>30</v>
      </c>
      <c r="F127">
        <v>5</v>
      </c>
      <c r="G127" t="s">
        <v>200</v>
      </c>
      <c r="H127" t="s">
        <v>36</v>
      </c>
      <c r="I127" t="s">
        <v>8</v>
      </c>
      <c r="K127">
        <v>24</v>
      </c>
      <c r="L127" t="s">
        <v>16</v>
      </c>
      <c r="M127" t="s">
        <v>26</v>
      </c>
    </row>
    <row r="128" spans="1:13" x14ac:dyDescent="0.35">
      <c r="A128" t="s">
        <v>343</v>
      </c>
      <c r="B128" s="11">
        <v>45320</v>
      </c>
      <c r="C128" s="12">
        <v>0.24652777777777779</v>
      </c>
      <c r="D128" t="s">
        <v>344</v>
      </c>
      <c r="E128" t="s">
        <v>30</v>
      </c>
      <c r="F128">
        <v>61</v>
      </c>
      <c r="G128" t="s">
        <v>200</v>
      </c>
      <c r="H128" t="s">
        <v>36</v>
      </c>
      <c r="I128" t="s">
        <v>8</v>
      </c>
      <c r="K128">
        <v>33</v>
      </c>
      <c r="L128" t="s">
        <v>22</v>
      </c>
      <c r="M128" t="s">
        <v>25</v>
      </c>
    </row>
    <row r="129" spans="1:13" x14ac:dyDescent="0.35">
      <c r="A129" t="s">
        <v>345</v>
      </c>
      <c r="B129" s="11">
        <v>45295</v>
      </c>
      <c r="C129" s="12">
        <v>0.7631944444444444</v>
      </c>
      <c r="D129" t="s">
        <v>346</v>
      </c>
      <c r="E129" t="s">
        <v>30</v>
      </c>
      <c r="F129">
        <v>64</v>
      </c>
      <c r="G129" t="s">
        <v>167</v>
      </c>
      <c r="H129" t="s">
        <v>36</v>
      </c>
      <c r="I129" t="s">
        <v>8</v>
      </c>
      <c r="K129">
        <v>55</v>
      </c>
      <c r="L129" t="s">
        <v>22</v>
      </c>
      <c r="M129" t="s">
        <v>25</v>
      </c>
    </row>
    <row r="130" spans="1:13" x14ac:dyDescent="0.35">
      <c r="A130" t="s">
        <v>347</v>
      </c>
      <c r="B130" s="11">
        <v>45293</v>
      </c>
      <c r="C130" s="12">
        <v>0.29791666666666666</v>
      </c>
      <c r="D130" t="s">
        <v>348</v>
      </c>
      <c r="E130" t="s">
        <v>31</v>
      </c>
      <c r="F130">
        <v>3</v>
      </c>
      <c r="G130" t="s">
        <v>167</v>
      </c>
      <c r="H130" t="s">
        <v>36</v>
      </c>
      <c r="I130" t="s">
        <v>8</v>
      </c>
      <c r="K130">
        <v>27</v>
      </c>
      <c r="L130" t="s">
        <v>16</v>
      </c>
      <c r="M130" t="s">
        <v>26</v>
      </c>
    </row>
    <row r="131" spans="1:13" x14ac:dyDescent="0.35">
      <c r="A131" t="s">
        <v>349</v>
      </c>
      <c r="B131" s="11">
        <v>45295</v>
      </c>
      <c r="C131" s="12">
        <v>0.65</v>
      </c>
      <c r="D131" t="s">
        <v>350</v>
      </c>
      <c r="E131" t="s">
        <v>31</v>
      </c>
      <c r="F131">
        <v>55</v>
      </c>
      <c r="G131" t="s">
        <v>167</v>
      </c>
      <c r="H131" t="s">
        <v>36</v>
      </c>
      <c r="I131" t="s">
        <v>8</v>
      </c>
      <c r="K131">
        <v>46</v>
      </c>
      <c r="L131" t="s">
        <v>21</v>
      </c>
      <c r="M131" t="s">
        <v>25</v>
      </c>
    </row>
    <row r="132" spans="1:13" x14ac:dyDescent="0.35">
      <c r="A132" t="s">
        <v>351</v>
      </c>
      <c r="B132" s="11">
        <v>45309</v>
      </c>
      <c r="C132" s="12">
        <v>0.67638888888888893</v>
      </c>
      <c r="D132" t="s">
        <v>352</v>
      </c>
      <c r="E132" t="s">
        <v>31</v>
      </c>
      <c r="F132">
        <v>71</v>
      </c>
      <c r="G132" t="s">
        <v>167</v>
      </c>
      <c r="H132" t="s">
        <v>36</v>
      </c>
      <c r="I132" t="s">
        <v>8</v>
      </c>
      <c r="K132">
        <v>20</v>
      </c>
      <c r="L132" t="s">
        <v>23</v>
      </c>
      <c r="M132" t="s">
        <v>26</v>
      </c>
    </row>
    <row r="133" spans="1:13" x14ac:dyDescent="0.35">
      <c r="A133" t="s">
        <v>353</v>
      </c>
      <c r="B133" s="11">
        <v>45311</v>
      </c>
      <c r="C133" s="12">
        <v>0.54861111111111116</v>
      </c>
      <c r="D133" t="s">
        <v>354</v>
      </c>
      <c r="E133" t="s">
        <v>31</v>
      </c>
      <c r="F133">
        <v>45</v>
      </c>
      <c r="G133" t="s">
        <v>167</v>
      </c>
      <c r="H133" t="s">
        <v>36</v>
      </c>
      <c r="I133" t="s">
        <v>8</v>
      </c>
      <c r="K133">
        <v>36</v>
      </c>
      <c r="L133" t="s">
        <v>20</v>
      </c>
      <c r="M133" t="s">
        <v>25</v>
      </c>
    </row>
    <row r="134" spans="1:13" x14ac:dyDescent="0.35">
      <c r="A134" t="s">
        <v>355</v>
      </c>
      <c r="B134" s="11">
        <v>45318</v>
      </c>
      <c r="C134" s="12">
        <v>0.45</v>
      </c>
      <c r="D134" t="s">
        <v>356</v>
      </c>
      <c r="E134" t="s">
        <v>31</v>
      </c>
      <c r="F134">
        <v>34</v>
      </c>
      <c r="G134" t="s">
        <v>167</v>
      </c>
      <c r="H134" t="s">
        <v>36</v>
      </c>
      <c r="I134" t="s">
        <v>8</v>
      </c>
      <c r="K134">
        <v>51</v>
      </c>
      <c r="L134" t="s">
        <v>19</v>
      </c>
      <c r="M134" t="s">
        <v>25</v>
      </c>
    </row>
    <row r="135" spans="1:13" x14ac:dyDescent="0.35">
      <c r="A135" t="s">
        <v>357</v>
      </c>
      <c r="B135" s="11">
        <v>45318</v>
      </c>
      <c r="C135" s="12">
        <v>0.51388888888888884</v>
      </c>
      <c r="D135" t="s">
        <v>358</v>
      </c>
      <c r="E135" t="s">
        <v>31</v>
      </c>
      <c r="F135">
        <v>26</v>
      </c>
      <c r="G135" t="s">
        <v>167</v>
      </c>
      <c r="H135" t="s">
        <v>36</v>
      </c>
      <c r="I135" t="s">
        <v>8</v>
      </c>
      <c r="K135">
        <v>47</v>
      </c>
      <c r="L135" t="s">
        <v>18</v>
      </c>
      <c r="M135" t="s">
        <v>25</v>
      </c>
    </row>
    <row r="136" spans="1:13" x14ac:dyDescent="0.35">
      <c r="A136" t="s">
        <v>359</v>
      </c>
      <c r="B136" s="11">
        <v>45294</v>
      </c>
      <c r="C136" s="12">
        <v>0.65208333333333335</v>
      </c>
      <c r="D136" t="s">
        <v>360</v>
      </c>
      <c r="E136" t="s">
        <v>30</v>
      </c>
      <c r="F136">
        <v>60</v>
      </c>
      <c r="G136" t="s">
        <v>90</v>
      </c>
      <c r="H136" t="s">
        <v>36</v>
      </c>
      <c r="I136" t="s">
        <v>8</v>
      </c>
      <c r="K136">
        <v>44</v>
      </c>
      <c r="L136" t="s">
        <v>21</v>
      </c>
      <c r="M136" t="s">
        <v>25</v>
      </c>
    </row>
    <row r="137" spans="1:13" x14ac:dyDescent="0.35">
      <c r="A137" t="s">
        <v>361</v>
      </c>
      <c r="B137" s="11">
        <v>45307</v>
      </c>
      <c r="C137" s="12">
        <v>8.7499999999999994E-2</v>
      </c>
      <c r="D137" t="s">
        <v>362</v>
      </c>
      <c r="E137" t="s">
        <v>30</v>
      </c>
      <c r="F137">
        <v>61</v>
      </c>
      <c r="G137" t="s">
        <v>90</v>
      </c>
      <c r="H137" t="s">
        <v>36</v>
      </c>
      <c r="I137" t="s">
        <v>8</v>
      </c>
      <c r="K137">
        <v>25</v>
      </c>
      <c r="L137" t="s">
        <v>22</v>
      </c>
      <c r="M137" t="s">
        <v>26</v>
      </c>
    </row>
    <row r="138" spans="1:13" x14ac:dyDescent="0.35">
      <c r="A138" t="s">
        <v>363</v>
      </c>
      <c r="B138" s="11">
        <v>45314</v>
      </c>
      <c r="C138" s="12">
        <v>9.6527777777777782E-2</v>
      </c>
      <c r="D138" t="s">
        <v>364</v>
      </c>
      <c r="E138" t="s">
        <v>30</v>
      </c>
      <c r="F138">
        <v>46</v>
      </c>
      <c r="G138" t="s">
        <v>90</v>
      </c>
      <c r="H138" t="s">
        <v>36</v>
      </c>
      <c r="I138" t="s">
        <v>8</v>
      </c>
      <c r="K138">
        <v>39</v>
      </c>
      <c r="L138" t="s">
        <v>20</v>
      </c>
      <c r="M138" t="s">
        <v>25</v>
      </c>
    </row>
    <row r="139" spans="1:13" x14ac:dyDescent="0.35">
      <c r="A139" t="s">
        <v>365</v>
      </c>
      <c r="B139" s="11">
        <v>45316</v>
      </c>
      <c r="C139" s="12">
        <v>0.72986111111111107</v>
      </c>
      <c r="D139" t="s">
        <v>366</v>
      </c>
      <c r="E139" t="s">
        <v>30</v>
      </c>
      <c r="F139">
        <v>8</v>
      </c>
      <c r="G139" t="s">
        <v>90</v>
      </c>
      <c r="H139" t="s">
        <v>36</v>
      </c>
      <c r="I139" t="s">
        <v>8</v>
      </c>
      <c r="K139">
        <v>53</v>
      </c>
      <c r="L139" t="s">
        <v>16</v>
      </c>
      <c r="M139" t="s">
        <v>25</v>
      </c>
    </row>
    <row r="140" spans="1:13" x14ac:dyDescent="0.35">
      <c r="A140" t="s">
        <v>367</v>
      </c>
      <c r="B140" s="11">
        <v>45303</v>
      </c>
      <c r="C140" s="12">
        <v>0.42152777777777778</v>
      </c>
      <c r="D140" t="s">
        <v>368</v>
      </c>
      <c r="E140" t="s">
        <v>31</v>
      </c>
      <c r="F140">
        <v>38</v>
      </c>
      <c r="G140" t="s">
        <v>90</v>
      </c>
      <c r="H140" t="s">
        <v>36</v>
      </c>
      <c r="I140" t="s">
        <v>8</v>
      </c>
      <c r="K140">
        <v>23</v>
      </c>
      <c r="L140" t="s">
        <v>19</v>
      </c>
      <c r="M140" t="s">
        <v>26</v>
      </c>
    </row>
    <row r="141" spans="1:13" x14ac:dyDescent="0.35">
      <c r="A141" t="s">
        <v>369</v>
      </c>
      <c r="B141" s="11">
        <v>45310</v>
      </c>
      <c r="C141" s="12">
        <v>0.34652777777777777</v>
      </c>
      <c r="D141" t="s">
        <v>370</v>
      </c>
      <c r="E141" t="s">
        <v>31</v>
      </c>
      <c r="F141">
        <v>7</v>
      </c>
      <c r="G141" t="s">
        <v>90</v>
      </c>
      <c r="H141" t="s">
        <v>36</v>
      </c>
      <c r="I141" t="s">
        <v>8</v>
      </c>
      <c r="K141">
        <v>28</v>
      </c>
      <c r="L141" t="s">
        <v>16</v>
      </c>
      <c r="M141" t="s">
        <v>26</v>
      </c>
    </row>
    <row r="142" spans="1:13" x14ac:dyDescent="0.35">
      <c r="A142" t="s">
        <v>371</v>
      </c>
      <c r="B142" s="11">
        <v>45292</v>
      </c>
      <c r="C142" s="12">
        <v>0.72569444444444442</v>
      </c>
      <c r="D142" t="s">
        <v>372</v>
      </c>
      <c r="E142" t="s">
        <v>30</v>
      </c>
      <c r="F142">
        <v>22</v>
      </c>
      <c r="G142" t="s">
        <v>90</v>
      </c>
      <c r="H142" t="s">
        <v>39</v>
      </c>
      <c r="I142" t="s">
        <v>8</v>
      </c>
      <c r="K142">
        <v>45</v>
      </c>
      <c r="L142" t="s">
        <v>18</v>
      </c>
      <c r="M142" t="s">
        <v>25</v>
      </c>
    </row>
    <row r="143" spans="1:13" x14ac:dyDescent="0.35">
      <c r="A143" t="s">
        <v>373</v>
      </c>
      <c r="B143" s="11">
        <v>45292</v>
      </c>
      <c r="C143" s="12">
        <v>0.54166666666666663</v>
      </c>
      <c r="D143" t="s">
        <v>374</v>
      </c>
      <c r="E143" t="s">
        <v>31</v>
      </c>
      <c r="F143">
        <v>59</v>
      </c>
      <c r="G143" t="s">
        <v>90</v>
      </c>
      <c r="H143" t="s">
        <v>39</v>
      </c>
      <c r="I143" t="s">
        <v>8</v>
      </c>
      <c r="K143">
        <v>45</v>
      </c>
      <c r="L143" t="s">
        <v>21</v>
      </c>
      <c r="M143" t="s">
        <v>25</v>
      </c>
    </row>
    <row r="144" spans="1:13" x14ac:dyDescent="0.35">
      <c r="A144" t="s">
        <v>375</v>
      </c>
      <c r="B144" s="11">
        <v>45301</v>
      </c>
      <c r="C144" s="12">
        <v>0.72083333333333333</v>
      </c>
      <c r="D144" t="s">
        <v>376</v>
      </c>
      <c r="E144" t="s">
        <v>31</v>
      </c>
      <c r="F144">
        <v>11</v>
      </c>
      <c r="G144" t="s">
        <v>90</v>
      </c>
      <c r="H144" t="s">
        <v>39</v>
      </c>
      <c r="I144" t="s">
        <v>8</v>
      </c>
      <c r="K144">
        <v>60</v>
      </c>
      <c r="L144" t="s">
        <v>17</v>
      </c>
      <c r="M144" t="s">
        <v>25</v>
      </c>
    </row>
    <row r="145" spans="1:13" x14ac:dyDescent="0.35">
      <c r="A145" t="s">
        <v>377</v>
      </c>
      <c r="B145" s="11">
        <v>45301</v>
      </c>
      <c r="C145" s="12">
        <v>0.58125000000000004</v>
      </c>
      <c r="D145" t="s">
        <v>378</v>
      </c>
      <c r="E145" t="s">
        <v>31</v>
      </c>
      <c r="F145">
        <v>46</v>
      </c>
      <c r="G145" t="s">
        <v>90</v>
      </c>
      <c r="H145" t="s">
        <v>39</v>
      </c>
      <c r="I145" t="s">
        <v>8</v>
      </c>
      <c r="K145">
        <v>47</v>
      </c>
      <c r="L145" t="s">
        <v>20</v>
      </c>
      <c r="M145" t="s">
        <v>25</v>
      </c>
    </row>
    <row r="146" spans="1:13" x14ac:dyDescent="0.35">
      <c r="A146" t="s">
        <v>379</v>
      </c>
      <c r="B146" s="11">
        <v>45304</v>
      </c>
      <c r="C146" s="12">
        <v>0.48541666666666666</v>
      </c>
      <c r="D146" t="s">
        <v>380</v>
      </c>
      <c r="E146" t="s">
        <v>31</v>
      </c>
      <c r="F146">
        <v>33</v>
      </c>
      <c r="G146" t="s">
        <v>90</v>
      </c>
      <c r="H146" t="s">
        <v>39</v>
      </c>
      <c r="I146" t="s">
        <v>8</v>
      </c>
      <c r="K146">
        <v>32</v>
      </c>
      <c r="L146" t="s">
        <v>19</v>
      </c>
      <c r="M146" t="s">
        <v>25</v>
      </c>
    </row>
    <row r="147" spans="1:13" x14ac:dyDescent="0.35">
      <c r="A147" t="s">
        <v>381</v>
      </c>
      <c r="B147" s="11">
        <v>45308</v>
      </c>
      <c r="C147" s="12">
        <v>0.52847222222222223</v>
      </c>
      <c r="D147" t="s">
        <v>382</v>
      </c>
      <c r="E147" t="s">
        <v>30</v>
      </c>
      <c r="F147">
        <v>4</v>
      </c>
      <c r="G147" t="s">
        <v>90</v>
      </c>
      <c r="H147" t="s">
        <v>39</v>
      </c>
      <c r="I147" t="s">
        <v>8</v>
      </c>
      <c r="K147">
        <v>53</v>
      </c>
      <c r="L147" t="s">
        <v>16</v>
      </c>
      <c r="M147" t="s">
        <v>25</v>
      </c>
    </row>
    <row r="148" spans="1:13" x14ac:dyDescent="0.35">
      <c r="A148" t="s">
        <v>383</v>
      </c>
      <c r="B148" s="11">
        <v>45319</v>
      </c>
      <c r="C148" s="12">
        <v>0.18680555555555556</v>
      </c>
      <c r="D148" t="s">
        <v>384</v>
      </c>
      <c r="E148" t="s">
        <v>30</v>
      </c>
      <c r="F148">
        <v>72</v>
      </c>
      <c r="G148" t="s">
        <v>90</v>
      </c>
      <c r="H148" t="s">
        <v>39</v>
      </c>
      <c r="I148" t="s">
        <v>8</v>
      </c>
      <c r="K148">
        <v>31</v>
      </c>
      <c r="L148" t="s">
        <v>23</v>
      </c>
      <c r="M148" t="s">
        <v>25</v>
      </c>
    </row>
    <row r="149" spans="1:13" x14ac:dyDescent="0.35">
      <c r="A149" t="s">
        <v>385</v>
      </c>
      <c r="B149" s="11">
        <v>45293</v>
      </c>
      <c r="C149" s="12">
        <v>0.58750000000000002</v>
      </c>
      <c r="D149" t="s">
        <v>386</v>
      </c>
      <c r="E149" t="s">
        <v>31</v>
      </c>
      <c r="F149">
        <v>6</v>
      </c>
      <c r="G149" t="s">
        <v>167</v>
      </c>
      <c r="H149" t="s">
        <v>39</v>
      </c>
      <c r="I149" t="s">
        <v>8</v>
      </c>
      <c r="K149">
        <v>19</v>
      </c>
      <c r="L149" t="s">
        <v>16</v>
      </c>
      <c r="M149" t="s">
        <v>26</v>
      </c>
    </row>
    <row r="150" spans="1:13" x14ac:dyDescent="0.35">
      <c r="A150" t="s">
        <v>387</v>
      </c>
      <c r="B150" s="11">
        <v>45300</v>
      </c>
      <c r="C150" s="12">
        <v>0.39652777777777776</v>
      </c>
      <c r="D150" t="s">
        <v>388</v>
      </c>
      <c r="E150" t="s">
        <v>31</v>
      </c>
      <c r="F150">
        <v>32</v>
      </c>
      <c r="G150" t="s">
        <v>167</v>
      </c>
      <c r="H150" t="s">
        <v>39</v>
      </c>
      <c r="I150" t="s">
        <v>8</v>
      </c>
      <c r="K150">
        <v>26</v>
      </c>
      <c r="L150" t="s">
        <v>19</v>
      </c>
      <c r="M150" t="s">
        <v>26</v>
      </c>
    </row>
    <row r="151" spans="1:13" x14ac:dyDescent="0.35">
      <c r="A151" t="s">
        <v>389</v>
      </c>
      <c r="B151" s="11">
        <v>45314</v>
      </c>
      <c r="C151" s="12">
        <v>0.6430555555555556</v>
      </c>
      <c r="D151" t="s">
        <v>390</v>
      </c>
      <c r="E151" t="s">
        <v>31</v>
      </c>
      <c r="F151">
        <v>57</v>
      </c>
      <c r="G151" t="s">
        <v>167</v>
      </c>
      <c r="H151" t="s">
        <v>39</v>
      </c>
      <c r="I151" t="s">
        <v>8</v>
      </c>
      <c r="K151">
        <v>60</v>
      </c>
      <c r="L151" t="s">
        <v>21</v>
      </c>
      <c r="M151" t="s">
        <v>25</v>
      </c>
    </row>
    <row r="152" spans="1:13" x14ac:dyDescent="0.35">
      <c r="A152" t="s">
        <v>391</v>
      </c>
      <c r="B152" s="11">
        <v>45302</v>
      </c>
      <c r="C152" s="12">
        <v>0.59305555555555556</v>
      </c>
      <c r="D152" t="s">
        <v>392</v>
      </c>
      <c r="E152" t="s">
        <v>30</v>
      </c>
      <c r="F152">
        <v>66</v>
      </c>
      <c r="G152" t="s">
        <v>167</v>
      </c>
      <c r="H152" t="s">
        <v>39</v>
      </c>
      <c r="I152" t="s">
        <v>8</v>
      </c>
      <c r="K152">
        <v>60</v>
      </c>
      <c r="L152" t="s">
        <v>22</v>
      </c>
      <c r="M152" t="s">
        <v>25</v>
      </c>
    </row>
    <row r="153" spans="1:13" x14ac:dyDescent="0.35">
      <c r="A153" t="s">
        <v>393</v>
      </c>
      <c r="B153" s="11">
        <v>45308</v>
      </c>
      <c r="C153" s="12">
        <v>0.30902777777777779</v>
      </c>
      <c r="D153" t="s">
        <v>394</v>
      </c>
      <c r="E153" t="s">
        <v>30</v>
      </c>
      <c r="F153">
        <v>62</v>
      </c>
      <c r="G153" t="s">
        <v>167</v>
      </c>
      <c r="H153" t="s">
        <v>39</v>
      </c>
      <c r="I153" t="s">
        <v>8</v>
      </c>
      <c r="K153">
        <v>33</v>
      </c>
      <c r="L153" t="s">
        <v>22</v>
      </c>
      <c r="M153" t="s">
        <v>25</v>
      </c>
    </row>
    <row r="154" spans="1:13" x14ac:dyDescent="0.35">
      <c r="A154" t="s">
        <v>395</v>
      </c>
      <c r="B154" s="11">
        <v>45294</v>
      </c>
      <c r="C154" s="12">
        <v>0.24791666666666667</v>
      </c>
      <c r="D154" t="s">
        <v>396</v>
      </c>
      <c r="E154" t="s">
        <v>31</v>
      </c>
      <c r="F154">
        <v>41</v>
      </c>
      <c r="G154" t="s">
        <v>200</v>
      </c>
      <c r="H154" t="s">
        <v>39</v>
      </c>
      <c r="I154" t="s">
        <v>8</v>
      </c>
      <c r="K154">
        <v>57</v>
      </c>
      <c r="L154" t="s">
        <v>20</v>
      </c>
      <c r="M154" t="s">
        <v>25</v>
      </c>
    </row>
    <row r="155" spans="1:13" x14ac:dyDescent="0.35">
      <c r="A155" t="s">
        <v>397</v>
      </c>
      <c r="B155" s="11">
        <v>45296</v>
      </c>
      <c r="C155" s="12">
        <v>0.95694444444444449</v>
      </c>
      <c r="D155" t="s">
        <v>398</v>
      </c>
      <c r="E155" t="s">
        <v>31</v>
      </c>
      <c r="F155">
        <v>27</v>
      </c>
      <c r="G155" t="s">
        <v>200</v>
      </c>
      <c r="H155" t="s">
        <v>39</v>
      </c>
      <c r="I155" t="s">
        <v>8</v>
      </c>
      <c r="K155">
        <v>49</v>
      </c>
      <c r="L155" t="s">
        <v>18</v>
      </c>
      <c r="M155" t="s">
        <v>25</v>
      </c>
    </row>
    <row r="156" spans="1:13" x14ac:dyDescent="0.35">
      <c r="A156" t="s">
        <v>399</v>
      </c>
      <c r="B156" s="11">
        <v>45303</v>
      </c>
      <c r="C156" s="12">
        <v>0.88958333333333328</v>
      </c>
      <c r="D156" t="s">
        <v>400</v>
      </c>
      <c r="E156" t="s">
        <v>31</v>
      </c>
      <c r="F156">
        <v>61</v>
      </c>
      <c r="G156" t="s">
        <v>200</v>
      </c>
      <c r="H156" t="s">
        <v>39</v>
      </c>
      <c r="I156" t="s">
        <v>8</v>
      </c>
      <c r="K156">
        <v>37</v>
      </c>
      <c r="L156" t="s">
        <v>22</v>
      </c>
      <c r="M156" t="s">
        <v>25</v>
      </c>
    </row>
    <row r="157" spans="1:13" x14ac:dyDescent="0.35">
      <c r="A157" t="s">
        <v>401</v>
      </c>
      <c r="B157" s="11">
        <v>45304</v>
      </c>
      <c r="C157" s="12">
        <v>0.17222222222222222</v>
      </c>
      <c r="D157" t="s">
        <v>402</v>
      </c>
      <c r="E157" t="s">
        <v>31</v>
      </c>
      <c r="F157">
        <v>26</v>
      </c>
      <c r="G157" t="s">
        <v>200</v>
      </c>
      <c r="H157" t="s">
        <v>39</v>
      </c>
      <c r="I157" t="s">
        <v>8</v>
      </c>
      <c r="K157">
        <v>42</v>
      </c>
      <c r="L157" t="s">
        <v>18</v>
      </c>
      <c r="M157" t="s">
        <v>25</v>
      </c>
    </row>
    <row r="158" spans="1:13" x14ac:dyDescent="0.35">
      <c r="A158" t="s">
        <v>403</v>
      </c>
      <c r="B158" s="11">
        <v>45305</v>
      </c>
      <c r="C158" s="12">
        <v>0.75624999999999998</v>
      </c>
      <c r="D158" t="s">
        <v>404</v>
      </c>
      <c r="E158" t="s">
        <v>30</v>
      </c>
      <c r="F158">
        <v>41</v>
      </c>
      <c r="G158" t="s">
        <v>200</v>
      </c>
      <c r="H158" t="s">
        <v>39</v>
      </c>
      <c r="I158" t="s">
        <v>8</v>
      </c>
      <c r="K158">
        <v>23</v>
      </c>
      <c r="L158" t="s">
        <v>20</v>
      </c>
      <c r="M158" t="s">
        <v>26</v>
      </c>
    </row>
    <row r="159" spans="1:13" x14ac:dyDescent="0.35">
      <c r="A159" t="s">
        <v>405</v>
      </c>
      <c r="B159" s="11">
        <v>45312</v>
      </c>
      <c r="C159" s="12">
        <v>0.65</v>
      </c>
      <c r="D159" t="s">
        <v>406</v>
      </c>
      <c r="E159" t="s">
        <v>31</v>
      </c>
      <c r="F159">
        <v>78</v>
      </c>
      <c r="G159" t="s">
        <v>200</v>
      </c>
      <c r="H159" t="s">
        <v>39</v>
      </c>
      <c r="I159" t="s">
        <v>8</v>
      </c>
      <c r="K159">
        <v>23</v>
      </c>
      <c r="L159" t="s">
        <v>23</v>
      </c>
      <c r="M159" t="s">
        <v>26</v>
      </c>
    </row>
    <row r="160" spans="1:13" x14ac:dyDescent="0.35">
      <c r="A160" t="s">
        <v>407</v>
      </c>
      <c r="B160" s="11">
        <v>45318</v>
      </c>
      <c r="C160" s="12">
        <v>4.027777777777778E-2</v>
      </c>
      <c r="D160" t="s">
        <v>408</v>
      </c>
      <c r="E160" t="s">
        <v>31</v>
      </c>
      <c r="F160">
        <v>30</v>
      </c>
      <c r="G160" t="s">
        <v>200</v>
      </c>
      <c r="H160" t="s">
        <v>39</v>
      </c>
      <c r="I160" t="s">
        <v>8</v>
      </c>
      <c r="K160">
        <v>15</v>
      </c>
      <c r="L160" t="s">
        <v>18</v>
      </c>
      <c r="M160" t="s">
        <v>26</v>
      </c>
    </row>
    <row r="161" spans="1:13" x14ac:dyDescent="0.35">
      <c r="A161" t="s">
        <v>409</v>
      </c>
      <c r="B161" s="11">
        <v>45322</v>
      </c>
      <c r="C161" s="12">
        <v>0.24236111111111111</v>
      </c>
      <c r="D161" t="s">
        <v>410</v>
      </c>
      <c r="E161" t="s">
        <v>30</v>
      </c>
      <c r="F161">
        <v>77</v>
      </c>
      <c r="G161" t="s">
        <v>200</v>
      </c>
      <c r="H161" t="s">
        <v>39</v>
      </c>
      <c r="I161" t="s">
        <v>8</v>
      </c>
      <c r="K161">
        <v>14</v>
      </c>
      <c r="L161" t="s">
        <v>23</v>
      </c>
      <c r="M161" t="s">
        <v>26</v>
      </c>
    </row>
    <row r="162" spans="1:13" x14ac:dyDescent="0.35">
      <c r="A162" t="s">
        <v>411</v>
      </c>
      <c r="B162" s="11">
        <v>45303</v>
      </c>
      <c r="C162" s="12">
        <v>0.40069444444444446</v>
      </c>
      <c r="D162" t="s">
        <v>412</v>
      </c>
      <c r="E162" t="s">
        <v>30</v>
      </c>
      <c r="F162">
        <v>30</v>
      </c>
      <c r="G162" t="s">
        <v>233</v>
      </c>
      <c r="H162" t="s">
        <v>39</v>
      </c>
      <c r="I162" t="s">
        <v>8</v>
      </c>
      <c r="K162">
        <v>49</v>
      </c>
      <c r="L162" t="s">
        <v>18</v>
      </c>
      <c r="M162" t="s">
        <v>25</v>
      </c>
    </row>
    <row r="163" spans="1:13" x14ac:dyDescent="0.35">
      <c r="A163" t="s">
        <v>413</v>
      </c>
      <c r="B163" s="11">
        <v>45309</v>
      </c>
      <c r="C163" s="12">
        <v>0.80902777777777779</v>
      </c>
      <c r="D163" t="s">
        <v>414</v>
      </c>
      <c r="E163" t="s">
        <v>31</v>
      </c>
      <c r="F163">
        <v>52</v>
      </c>
      <c r="G163" t="s">
        <v>233</v>
      </c>
      <c r="H163" t="s">
        <v>39</v>
      </c>
      <c r="I163" t="s">
        <v>8</v>
      </c>
      <c r="K163">
        <v>18</v>
      </c>
      <c r="L163" t="s">
        <v>21</v>
      </c>
      <c r="M163" t="s">
        <v>26</v>
      </c>
    </row>
    <row r="164" spans="1:13" x14ac:dyDescent="0.35">
      <c r="A164" t="s">
        <v>415</v>
      </c>
      <c r="B164" s="11">
        <v>45316</v>
      </c>
      <c r="C164" s="12">
        <v>0.8</v>
      </c>
      <c r="D164" t="s">
        <v>416</v>
      </c>
      <c r="E164" t="s">
        <v>30</v>
      </c>
      <c r="F164">
        <v>65</v>
      </c>
      <c r="G164" t="s">
        <v>233</v>
      </c>
      <c r="H164" t="s">
        <v>39</v>
      </c>
      <c r="I164" t="s">
        <v>8</v>
      </c>
      <c r="K164">
        <v>11</v>
      </c>
      <c r="L164" t="s">
        <v>22</v>
      </c>
      <c r="M164" t="s">
        <v>26</v>
      </c>
    </row>
    <row r="165" spans="1:13" x14ac:dyDescent="0.35">
      <c r="A165" t="s">
        <v>417</v>
      </c>
      <c r="B165" s="11">
        <v>45319</v>
      </c>
      <c r="C165" s="12">
        <v>0.12638888888888888</v>
      </c>
      <c r="D165" t="s">
        <v>418</v>
      </c>
      <c r="E165" t="s">
        <v>30</v>
      </c>
      <c r="F165">
        <v>16</v>
      </c>
      <c r="G165" t="s">
        <v>233</v>
      </c>
      <c r="H165" t="s">
        <v>39</v>
      </c>
      <c r="I165" t="s">
        <v>8</v>
      </c>
      <c r="K165">
        <v>59</v>
      </c>
      <c r="L165" t="s">
        <v>17</v>
      </c>
      <c r="M165" t="s">
        <v>25</v>
      </c>
    </row>
    <row r="166" spans="1:13" x14ac:dyDescent="0.35">
      <c r="A166" t="s">
        <v>419</v>
      </c>
      <c r="B166" s="11">
        <v>45295</v>
      </c>
      <c r="C166" s="12">
        <v>0.70416666666666672</v>
      </c>
      <c r="D166" t="s">
        <v>420</v>
      </c>
      <c r="E166" t="s">
        <v>30</v>
      </c>
      <c r="F166">
        <v>20</v>
      </c>
      <c r="G166" t="s">
        <v>262</v>
      </c>
      <c r="H166" t="s">
        <v>39</v>
      </c>
      <c r="I166" t="s">
        <v>8</v>
      </c>
      <c r="K166">
        <v>43</v>
      </c>
      <c r="L166" t="s">
        <v>17</v>
      </c>
      <c r="M166" t="s">
        <v>25</v>
      </c>
    </row>
    <row r="167" spans="1:13" x14ac:dyDescent="0.35">
      <c r="A167" t="s">
        <v>421</v>
      </c>
      <c r="B167" s="11">
        <v>45305</v>
      </c>
      <c r="C167" s="12">
        <v>0.4548611111111111</v>
      </c>
      <c r="D167" t="s">
        <v>422</v>
      </c>
      <c r="E167" t="s">
        <v>31</v>
      </c>
      <c r="F167">
        <v>74</v>
      </c>
      <c r="G167" t="s">
        <v>289</v>
      </c>
      <c r="H167" t="s">
        <v>39</v>
      </c>
      <c r="I167" t="s">
        <v>8</v>
      </c>
      <c r="K167">
        <v>15</v>
      </c>
      <c r="L167" t="s">
        <v>23</v>
      </c>
      <c r="M167" t="s">
        <v>26</v>
      </c>
    </row>
    <row r="168" spans="1:13" x14ac:dyDescent="0.35">
      <c r="A168" t="s">
        <v>423</v>
      </c>
      <c r="B168" s="11">
        <v>45306</v>
      </c>
      <c r="C168" s="12">
        <v>0.38611111111111113</v>
      </c>
      <c r="D168" t="s">
        <v>424</v>
      </c>
      <c r="E168" t="s">
        <v>30</v>
      </c>
      <c r="F168">
        <v>36</v>
      </c>
      <c r="G168" t="s">
        <v>296</v>
      </c>
      <c r="H168" t="s">
        <v>39</v>
      </c>
      <c r="I168" t="s">
        <v>8</v>
      </c>
      <c r="K168">
        <v>34</v>
      </c>
      <c r="L168" t="s">
        <v>19</v>
      </c>
      <c r="M168" t="s">
        <v>25</v>
      </c>
    </row>
    <row r="169" spans="1:13" x14ac:dyDescent="0.35">
      <c r="A169" t="s">
        <v>425</v>
      </c>
      <c r="B169" s="11">
        <v>45311</v>
      </c>
      <c r="C169" s="12">
        <v>0.95347222222222228</v>
      </c>
      <c r="D169" t="s">
        <v>426</v>
      </c>
      <c r="E169" t="s">
        <v>30</v>
      </c>
      <c r="F169">
        <v>3</v>
      </c>
      <c r="G169" t="s">
        <v>289</v>
      </c>
      <c r="H169" t="s">
        <v>39</v>
      </c>
      <c r="I169" t="s">
        <v>8</v>
      </c>
      <c r="K169">
        <v>54</v>
      </c>
      <c r="L169" t="s">
        <v>16</v>
      </c>
      <c r="M169" t="s">
        <v>25</v>
      </c>
    </row>
    <row r="170" spans="1:13" x14ac:dyDescent="0.35">
      <c r="A170" t="s">
        <v>427</v>
      </c>
      <c r="B170" s="11">
        <v>45313</v>
      </c>
      <c r="C170" s="12">
        <v>0.38611111111111113</v>
      </c>
      <c r="D170" t="s">
        <v>428</v>
      </c>
      <c r="E170" t="s">
        <v>30</v>
      </c>
      <c r="F170">
        <v>43</v>
      </c>
      <c r="G170" t="s">
        <v>296</v>
      </c>
      <c r="H170" t="s">
        <v>39</v>
      </c>
      <c r="I170" t="s">
        <v>8</v>
      </c>
      <c r="K170">
        <v>24</v>
      </c>
      <c r="L170" t="s">
        <v>20</v>
      </c>
      <c r="M170" t="s">
        <v>26</v>
      </c>
    </row>
    <row r="171" spans="1:13" x14ac:dyDescent="0.35">
      <c r="A171" t="s">
        <v>429</v>
      </c>
      <c r="B171" s="11">
        <v>45314</v>
      </c>
      <c r="C171" s="12">
        <v>0.83402777777777781</v>
      </c>
      <c r="D171" t="s">
        <v>430</v>
      </c>
      <c r="E171" t="s">
        <v>31</v>
      </c>
      <c r="F171">
        <v>50</v>
      </c>
      <c r="G171" t="s">
        <v>289</v>
      </c>
      <c r="H171" t="s">
        <v>39</v>
      </c>
      <c r="I171" t="s">
        <v>8</v>
      </c>
      <c r="K171">
        <v>29</v>
      </c>
      <c r="L171" t="s">
        <v>20</v>
      </c>
      <c r="M171" t="s">
        <v>26</v>
      </c>
    </row>
    <row r="172" spans="1:13" x14ac:dyDescent="0.35">
      <c r="A172" t="s">
        <v>431</v>
      </c>
      <c r="B172" s="11">
        <v>45317</v>
      </c>
      <c r="C172" s="12">
        <v>0.96597222222222223</v>
      </c>
      <c r="D172" t="s">
        <v>432</v>
      </c>
      <c r="E172" t="s">
        <v>31</v>
      </c>
      <c r="F172">
        <v>33</v>
      </c>
      <c r="G172" t="s">
        <v>296</v>
      </c>
      <c r="H172" t="s">
        <v>39</v>
      </c>
      <c r="I172" t="s">
        <v>8</v>
      </c>
      <c r="K172">
        <v>25</v>
      </c>
      <c r="L172" t="s">
        <v>19</v>
      </c>
      <c r="M172" t="s">
        <v>26</v>
      </c>
    </row>
    <row r="173" spans="1:13" x14ac:dyDescent="0.35">
      <c r="A173" t="s">
        <v>433</v>
      </c>
      <c r="B173" s="11">
        <v>45320</v>
      </c>
      <c r="C173" s="12">
        <v>0.32916666666666666</v>
      </c>
      <c r="D173" t="s">
        <v>434</v>
      </c>
      <c r="E173" t="s">
        <v>30</v>
      </c>
      <c r="F173">
        <v>46</v>
      </c>
      <c r="G173" t="s">
        <v>296</v>
      </c>
      <c r="H173" t="s">
        <v>39</v>
      </c>
      <c r="I173" t="s">
        <v>8</v>
      </c>
      <c r="K173">
        <v>47</v>
      </c>
      <c r="L173" t="s">
        <v>20</v>
      </c>
      <c r="M173" t="s">
        <v>25</v>
      </c>
    </row>
    <row r="174" spans="1:13" x14ac:dyDescent="0.35">
      <c r="A174" t="s">
        <v>435</v>
      </c>
      <c r="B174" s="11">
        <v>45294</v>
      </c>
      <c r="C174" s="12">
        <v>0.98124999999999996</v>
      </c>
      <c r="D174" t="s">
        <v>436</v>
      </c>
      <c r="E174" t="s">
        <v>31</v>
      </c>
      <c r="F174">
        <v>44</v>
      </c>
      <c r="G174" t="s">
        <v>90</v>
      </c>
      <c r="H174" t="s">
        <v>40</v>
      </c>
      <c r="I174" t="s">
        <v>8</v>
      </c>
      <c r="K174">
        <v>48</v>
      </c>
      <c r="L174" t="s">
        <v>20</v>
      </c>
      <c r="M174" t="s">
        <v>25</v>
      </c>
    </row>
    <row r="175" spans="1:13" x14ac:dyDescent="0.35">
      <c r="A175" t="s">
        <v>437</v>
      </c>
      <c r="B175" s="11">
        <v>45295</v>
      </c>
      <c r="C175" s="12">
        <v>0.23333333333333334</v>
      </c>
      <c r="D175" t="s">
        <v>438</v>
      </c>
      <c r="E175" t="s">
        <v>31</v>
      </c>
      <c r="F175">
        <v>33</v>
      </c>
      <c r="G175" t="s">
        <v>200</v>
      </c>
      <c r="H175" t="s">
        <v>40</v>
      </c>
      <c r="I175" t="s">
        <v>8</v>
      </c>
      <c r="K175">
        <v>60</v>
      </c>
      <c r="L175" t="s">
        <v>19</v>
      </c>
      <c r="M175" t="s">
        <v>25</v>
      </c>
    </row>
    <row r="176" spans="1:13" x14ac:dyDescent="0.35">
      <c r="A176" t="s">
        <v>439</v>
      </c>
      <c r="B176" s="11">
        <v>45301</v>
      </c>
      <c r="C176" s="12">
        <v>0.50624999999999998</v>
      </c>
      <c r="D176" t="s">
        <v>440</v>
      </c>
      <c r="E176" t="s">
        <v>31</v>
      </c>
      <c r="F176">
        <v>14</v>
      </c>
      <c r="G176" t="s">
        <v>90</v>
      </c>
      <c r="H176" t="s">
        <v>40</v>
      </c>
      <c r="I176" t="s">
        <v>8</v>
      </c>
      <c r="K176">
        <v>16</v>
      </c>
      <c r="L176" t="s">
        <v>17</v>
      </c>
      <c r="M176" t="s">
        <v>26</v>
      </c>
    </row>
    <row r="177" spans="1:13" x14ac:dyDescent="0.35">
      <c r="A177" t="s">
        <v>441</v>
      </c>
      <c r="B177" s="11">
        <v>45304</v>
      </c>
      <c r="C177" s="12">
        <v>0.67152777777777772</v>
      </c>
      <c r="D177" t="s">
        <v>442</v>
      </c>
      <c r="E177" t="s">
        <v>31</v>
      </c>
      <c r="F177">
        <v>44</v>
      </c>
      <c r="G177" t="s">
        <v>262</v>
      </c>
      <c r="H177" t="s">
        <v>40</v>
      </c>
      <c r="I177" t="s">
        <v>8</v>
      </c>
      <c r="K177">
        <v>25</v>
      </c>
      <c r="L177" t="s">
        <v>20</v>
      </c>
      <c r="M177" t="s">
        <v>26</v>
      </c>
    </row>
    <row r="178" spans="1:13" x14ac:dyDescent="0.35">
      <c r="A178" t="s">
        <v>443</v>
      </c>
      <c r="B178" s="11">
        <v>45317</v>
      </c>
      <c r="C178" s="12">
        <v>0.54305555555555551</v>
      </c>
      <c r="D178" t="s">
        <v>444</v>
      </c>
      <c r="E178" t="s">
        <v>30</v>
      </c>
      <c r="F178">
        <v>69</v>
      </c>
      <c r="G178" t="s">
        <v>289</v>
      </c>
      <c r="H178" t="s">
        <v>40</v>
      </c>
      <c r="I178" t="s">
        <v>8</v>
      </c>
      <c r="K178">
        <v>33</v>
      </c>
      <c r="L178" t="s">
        <v>22</v>
      </c>
      <c r="M178" t="s">
        <v>25</v>
      </c>
    </row>
    <row r="179" spans="1:13" x14ac:dyDescent="0.35">
      <c r="A179" t="s">
        <v>445</v>
      </c>
      <c r="B179" s="11">
        <v>45292</v>
      </c>
      <c r="C179" s="12">
        <v>0.875</v>
      </c>
      <c r="D179" t="s">
        <v>446</v>
      </c>
      <c r="E179" t="s">
        <v>30</v>
      </c>
      <c r="F179">
        <v>63</v>
      </c>
      <c r="G179" t="s">
        <v>289</v>
      </c>
      <c r="H179" t="s">
        <v>34</v>
      </c>
      <c r="I179" t="s">
        <v>8</v>
      </c>
      <c r="K179">
        <v>36</v>
      </c>
      <c r="L179" t="s">
        <v>22</v>
      </c>
      <c r="M179" t="s">
        <v>25</v>
      </c>
    </row>
    <row r="180" spans="1:13" x14ac:dyDescent="0.35">
      <c r="A180" t="s">
        <v>447</v>
      </c>
      <c r="B180" s="11">
        <v>45299</v>
      </c>
      <c r="C180" s="12">
        <v>0.8305555555555556</v>
      </c>
      <c r="D180" t="s">
        <v>448</v>
      </c>
      <c r="E180" t="s">
        <v>31</v>
      </c>
      <c r="F180">
        <v>69</v>
      </c>
      <c r="G180" t="s">
        <v>90</v>
      </c>
      <c r="H180" t="s">
        <v>34</v>
      </c>
      <c r="I180" t="s">
        <v>8</v>
      </c>
      <c r="K180">
        <v>34</v>
      </c>
      <c r="L180" t="s">
        <v>22</v>
      </c>
      <c r="M180" t="s">
        <v>25</v>
      </c>
    </row>
    <row r="181" spans="1:13" x14ac:dyDescent="0.35">
      <c r="A181" t="s">
        <v>449</v>
      </c>
      <c r="B181" s="11">
        <v>45301</v>
      </c>
      <c r="C181" s="12">
        <v>0.84444444444444444</v>
      </c>
      <c r="D181" t="s">
        <v>450</v>
      </c>
      <c r="E181" t="s">
        <v>31</v>
      </c>
      <c r="F181">
        <v>30</v>
      </c>
      <c r="G181" t="s">
        <v>296</v>
      </c>
      <c r="H181" t="s">
        <v>34</v>
      </c>
      <c r="I181" t="s">
        <v>8</v>
      </c>
      <c r="K181">
        <v>53</v>
      </c>
      <c r="L181" t="s">
        <v>18</v>
      </c>
      <c r="M181" t="s">
        <v>25</v>
      </c>
    </row>
    <row r="182" spans="1:13" x14ac:dyDescent="0.35">
      <c r="A182" t="s">
        <v>451</v>
      </c>
      <c r="B182" s="11">
        <v>45305</v>
      </c>
      <c r="C182" s="12">
        <v>0.35347222222222224</v>
      </c>
      <c r="D182" t="s">
        <v>452</v>
      </c>
      <c r="E182" t="s">
        <v>31</v>
      </c>
      <c r="F182">
        <v>20</v>
      </c>
      <c r="G182" t="s">
        <v>90</v>
      </c>
      <c r="H182" t="s">
        <v>34</v>
      </c>
      <c r="I182" t="s">
        <v>8</v>
      </c>
      <c r="K182">
        <v>30</v>
      </c>
      <c r="L182" t="s">
        <v>17</v>
      </c>
      <c r="M182" t="s">
        <v>26</v>
      </c>
    </row>
    <row r="183" spans="1:13" x14ac:dyDescent="0.35">
      <c r="A183" t="s">
        <v>453</v>
      </c>
      <c r="B183" s="11">
        <v>45312</v>
      </c>
      <c r="C183" s="12">
        <v>0.93263888888888891</v>
      </c>
      <c r="D183" t="s">
        <v>454</v>
      </c>
      <c r="E183" t="s">
        <v>30</v>
      </c>
      <c r="F183">
        <v>69</v>
      </c>
      <c r="G183" t="s">
        <v>262</v>
      </c>
      <c r="H183" t="s">
        <v>34</v>
      </c>
      <c r="I183" t="s">
        <v>8</v>
      </c>
      <c r="K183">
        <v>37</v>
      </c>
      <c r="L183" t="s">
        <v>22</v>
      </c>
      <c r="M183" t="s">
        <v>25</v>
      </c>
    </row>
    <row r="184" spans="1:13" x14ac:dyDescent="0.35">
      <c r="A184" t="s">
        <v>455</v>
      </c>
      <c r="B184" s="11">
        <v>45316</v>
      </c>
      <c r="C184" s="12">
        <v>8.7499999999999994E-2</v>
      </c>
      <c r="D184" t="s">
        <v>456</v>
      </c>
      <c r="E184" t="s">
        <v>31</v>
      </c>
      <c r="F184">
        <v>40</v>
      </c>
      <c r="G184" t="s">
        <v>262</v>
      </c>
      <c r="H184" t="s">
        <v>34</v>
      </c>
      <c r="I184" t="s">
        <v>8</v>
      </c>
      <c r="K184">
        <v>10</v>
      </c>
      <c r="L184" t="s">
        <v>19</v>
      </c>
      <c r="M184" t="s">
        <v>26</v>
      </c>
    </row>
    <row r="185" spans="1:13" x14ac:dyDescent="0.35">
      <c r="A185" t="s">
        <v>457</v>
      </c>
      <c r="B185" s="11">
        <v>45316</v>
      </c>
      <c r="C185" s="12">
        <v>0.14166666666666666</v>
      </c>
      <c r="D185" t="s">
        <v>458</v>
      </c>
      <c r="E185" t="s">
        <v>30</v>
      </c>
      <c r="F185">
        <v>15</v>
      </c>
      <c r="G185" t="s">
        <v>262</v>
      </c>
      <c r="H185" t="s">
        <v>34</v>
      </c>
      <c r="I185" t="s">
        <v>8</v>
      </c>
      <c r="K185">
        <v>24</v>
      </c>
      <c r="L185" t="s">
        <v>17</v>
      </c>
      <c r="M185" t="s">
        <v>26</v>
      </c>
    </row>
    <row r="186" spans="1:13" x14ac:dyDescent="0.35">
      <c r="A186" t="s">
        <v>459</v>
      </c>
      <c r="B186" s="11">
        <v>45292</v>
      </c>
      <c r="C186" s="12">
        <v>0.47569444444444442</v>
      </c>
      <c r="D186" t="s">
        <v>460</v>
      </c>
      <c r="E186" t="s">
        <v>31</v>
      </c>
      <c r="F186">
        <v>53</v>
      </c>
      <c r="G186" t="s">
        <v>289</v>
      </c>
      <c r="H186" t="s">
        <v>37</v>
      </c>
      <c r="I186" t="s">
        <v>8</v>
      </c>
      <c r="K186">
        <v>22</v>
      </c>
      <c r="L186" t="s">
        <v>21</v>
      </c>
      <c r="M186" t="s">
        <v>26</v>
      </c>
    </row>
    <row r="187" spans="1:13" x14ac:dyDescent="0.35">
      <c r="A187" t="s">
        <v>461</v>
      </c>
      <c r="B187" s="11">
        <v>45299</v>
      </c>
      <c r="C187" s="12">
        <v>0.21388888888888888</v>
      </c>
      <c r="D187" t="s">
        <v>462</v>
      </c>
      <c r="E187" t="s">
        <v>31</v>
      </c>
      <c r="F187">
        <v>25</v>
      </c>
      <c r="G187" t="s">
        <v>90</v>
      </c>
      <c r="H187" t="s">
        <v>37</v>
      </c>
      <c r="I187" t="s">
        <v>8</v>
      </c>
      <c r="K187">
        <v>48</v>
      </c>
      <c r="L187" t="s">
        <v>18</v>
      </c>
      <c r="M187" t="s">
        <v>25</v>
      </c>
    </row>
    <row r="188" spans="1:13" x14ac:dyDescent="0.35">
      <c r="A188" t="s">
        <v>463</v>
      </c>
      <c r="B188" s="11">
        <v>45313</v>
      </c>
      <c r="C188" s="12">
        <v>0.95625000000000004</v>
      </c>
      <c r="D188" t="s">
        <v>464</v>
      </c>
      <c r="E188" t="s">
        <v>31</v>
      </c>
      <c r="F188">
        <v>30</v>
      </c>
      <c r="G188" t="s">
        <v>233</v>
      </c>
      <c r="H188" t="s">
        <v>37</v>
      </c>
      <c r="I188" t="s">
        <v>8</v>
      </c>
      <c r="K188">
        <v>51</v>
      </c>
      <c r="L188" t="s">
        <v>18</v>
      </c>
      <c r="M188" t="s">
        <v>25</v>
      </c>
    </row>
    <row r="189" spans="1:13" x14ac:dyDescent="0.35">
      <c r="A189" t="s">
        <v>465</v>
      </c>
      <c r="B189" s="11">
        <v>45317</v>
      </c>
      <c r="C189" s="12">
        <v>0.26597222222222222</v>
      </c>
      <c r="D189" t="s">
        <v>466</v>
      </c>
      <c r="E189" t="s">
        <v>30</v>
      </c>
      <c r="F189">
        <v>51</v>
      </c>
      <c r="G189" t="s">
        <v>167</v>
      </c>
      <c r="H189" t="s">
        <v>37</v>
      </c>
      <c r="I189" t="s">
        <v>8</v>
      </c>
      <c r="K189">
        <v>52</v>
      </c>
      <c r="L189" t="s">
        <v>21</v>
      </c>
      <c r="M189" t="s">
        <v>25</v>
      </c>
    </row>
    <row r="190" spans="1:13" x14ac:dyDescent="0.35">
      <c r="A190" t="s">
        <v>467</v>
      </c>
      <c r="B190" s="11">
        <v>45320</v>
      </c>
      <c r="C190" s="12">
        <v>0.30138888888888887</v>
      </c>
      <c r="D190" t="s">
        <v>468</v>
      </c>
      <c r="E190" t="s">
        <v>31</v>
      </c>
      <c r="F190">
        <v>18</v>
      </c>
      <c r="G190" t="s">
        <v>90</v>
      </c>
      <c r="H190" t="s">
        <v>37</v>
      </c>
      <c r="I190" t="s">
        <v>8</v>
      </c>
      <c r="K190">
        <v>18</v>
      </c>
      <c r="L190" t="s">
        <v>17</v>
      </c>
      <c r="M190" t="s">
        <v>26</v>
      </c>
    </row>
    <row r="191" spans="1:13" x14ac:dyDescent="0.35">
      <c r="A191" t="s">
        <v>469</v>
      </c>
      <c r="B191" s="11">
        <v>45321</v>
      </c>
      <c r="C191" s="12">
        <v>0.66666666666666663</v>
      </c>
      <c r="D191" t="s">
        <v>470</v>
      </c>
      <c r="E191" t="s">
        <v>30</v>
      </c>
      <c r="F191">
        <v>35</v>
      </c>
      <c r="G191" t="s">
        <v>167</v>
      </c>
      <c r="H191" t="s">
        <v>37</v>
      </c>
      <c r="I191" t="s">
        <v>8</v>
      </c>
      <c r="K191">
        <v>16</v>
      </c>
      <c r="L191" t="s">
        <v>19</v>
      </c>
      <c r="M191" t="s">
        <v>26</v>
      </c>
    </row>
    <row r="192" spans="1:13" x14ac:dyDescent="0.35">
      <c r="A192" t="s">
        <v>471</v>
      </c>
      <c r="B192" s="11">
        <v>45322</v>
      </c>
      <c r="C192" s="12">
        <v>0.5625</v>
      </c>
      <c r="D192" t="s">
        <v>472</v>
      </c>
      <c r="E192" t="s">
        <v>31</v>
      </c>
      <c r="F192">
        <v>53</v>
      </c>
      <c r="G192" t="s">
        <v>262</v>
      </c>
      <c r="H192" t="s">
        <v>37</v>
      </c>
      <c r="I192" t="s">
        <v>8</v>
      </c>
      <c r="K192">
        <v>50</v>
      </c>
      <c r="L192" t="s">
        <v>21</v>
      </c>
      <c r="M192" t="s">
        <v>25</v>
      </c>
    </row>
    <row r="193" spans="1:13" x14ac:dyDescent="0.35">
      <c r="A193" t="s">
        <v>473</v>
      </c>
      <c r="B193" s="11">
        <v>45298</v>
      </c>
      <c r="C193" s="12">
        <v>0.47708333333333336</v>
      </c>
      <c r="D193" t="s">
        <v>474</v>
      </c>
      <c r="E193" t="s">
        <v>31</v>
      </c>
      <c r="F193">
        <v>50</v>
      </c>
      <c r="G193" t="s">
        <v>262</v>
      </c>
      <c r="H193" t="s">
        <v>41</v>
      </c>
      <c r="I193" t="s">
        <v>8</v>
      </c>
      <c r="K193">
        <v>29</v>
      </c>
      <c r="L193" t="s">
        <v>20</v>
      </c>
      <c r="M193" t="s">
        <v>26</v>
      </c>
    </row>
    <row r="194" spans="1:13" x14ac:dyDescent="0.35">
      <c r="A194" t="s">
        <v>475</v>
      </c>
      <c r="B194" s="11">
        <v>45301</v>
      </c>
      <c r="C194" s="12">
        <v>0.59513888888888888</v>
      </c>
      <c r="D194" t="s">
        <v>476</v>
      </c>
      <c r="E194" t="s">
        <v>30</v>
      </c>
      <c r="F194">
        <v>51</v>
      </c>
      <c r="G194" t="s">
        <v>90</v>
      </c>
      <c r="H194" t="s">
        <v>41</v>
      </c>
      <c r="I194" t="s">
        <v>8</v>
      </c>
      <c r="K194">
        <v>60</v>
      </c>
      <c r="L194" t="s">
        <v>21</v>
      </c>
      <c r="M194" t="s">
        <v>25</v>
      </c>
    </row>
    <row r="195" spans="1:13" x14ac:dyDescent="0.35">
      <c r="A195" t="s">
        <v>477</v>
      </c>
      <c r="B195" s="11">
        <v>45295</v>
      </c>
      <c r="C195" s="12">
        <v>9.0277777777777769E-3</v>
      </c>
      <c r="D195" t="s">
        <v>478</v>
      </c>
      <c r="E195" t="s">
        <v>31</v>
      </c>
      <c r="F195">
        <v>43</v>
      </c>
      <c r="G195" t="s">
        <v>167</v>
      </c>
      <c r="H195" t="s">
        <v>40</v>
      </c>
      <c r="I195" t="s">
        <v>8</v>
      </c>
      <c r="J195">
        <v>10</v>
      </c>
      <c r="K195">
        <v>32</v>
      </c>
      <c r="L195" t="s">
        <v>20</v>
      </c>
      <c r="M195" t="s">
        <v>25</v>
      </c>
    </row>
    <row r="196" spans="1:13" x14ac:dyDescent="0.35">
      <c r="A196" t="s">
        <v>479</v>
      </c>
      <c r="B196" s="11">
        <v>45303</v>
      </c>
      <c r="C196" s="12">
        <v>0.95972222222222225</v>
      </c>
      <c r="D196" t="s">
        <v>480</v>
      </c>
      <c r="E196" t="s">
        <v>30</v>
      </c>
      <c r="F196">
        <v>63</v>
      </c>
      <c r="G196" t="s">
        <v>167</v>
      </c>
      <c r="H196" t="s">
        <v>34</v>
      </c>
      <c r="I196" t="s">
        <v>8</v>
      </c>
      <c r="J196">
        <v>1</v>
      </c>
      <c r="K196">
        <v>45</v>
      </c>
      <c r="L196" t="s">
        <v>22</v>
      </c>
      <c r="M196" t="s">
        <v>25</v>
      </c>
    </row>
    <row r="197" spans="1:13" x14ac:dyDescent="0.35">
      <c r="A197" t="s">
        <v>481</v>
      </c>
      <c r="B197" s="11">
        <v>45308</v>
      </c>
      <c r="C197" s="12">
        <v>0.41041666666666665</v>
      </c>
      <c r="D197" t="s">
        <v>482</v>
      </c>
      <c r="E197" t="s">
        <v>31</v>
      </c>
      <c r="F197">
        <v>71</v>
      </c>
      <c r="G197" t="s">
        <v>296</v>
      </c>
      <c r="H197" t="s">
        <v>34</v>
      </c>
      <c r="I197" t="s">
        <v>8</v>
      </c>
      <c r="J197">
        <v>4</v>
      </c>
      <c r="K197">
        <v>55</v>
      </c>
      <c r="L197" t="s">
        <v>23</v>
      </c>
      <c r="M197" t="s">
        <v>25</v>
      </c>
    </row>
    <row r="198" spans="1:13" x14ac:dyDescent="0.35">
      <c r="A198" t="s">
        <v>483</v>
      </c>
      <c r="B198" s="11">
        <v>45310</v>
      </c>
      <c r="C198" s="12">
        <v>0.11805555555555555</v>
      </c>
      <c r="D198" t="s">
        <v>484</v>
      </c>
      <c r="E198" t="s">
        <v>30</v>
      </c>
      <c r="F198">
        <v>16</v>
      </c>
      <c r="G198" t="s">
        <v>289</v>
      </c>
      <c r="H198" t="s">
        <v>40</v>
      </c>
      <c r="I198" t="s">
        <v>8</v>
      </c>
      <c r="J198">
        <v>3</v>
      </c>
      <c r="K198">
        <v>44</v>
      </c>
      <c r="L198" t="s">
        <v>17</v>
      </c>
      <c r="M198" t="s">
        <v>25</v>
      </c>
    </row>
    <row r="199" spans="1:13" x14ac:dyDescent="0.35">
      <c r="A199" t="s">
        <v>485</v>
      </c>
      <c r="B199" s="11">
        <v>45315</v>
      </c>
      <c r="C199" s="12">
        <v>0.44722222222222224</v>
      </c>
      <c r="D199" t="s">
        <v>486</v>
      </c>
      <c r="E199" t="s">
        <v>31</v>
      </c>
      <c r="F199">
        <v>33</v>
      </c>
      <c r="G199" t="s">
        <v>167</v>
      </c>
      <c r="H199" t="s">
        <v>35</v>
      </c>
      <c r="I199" t="s">
        <v>8</v>
      </c>
      <c r="J199">
        <v>5</v>
      </c>
      <c r="K199">
        <v>36</v>
      </c>
      <c r="L199" t="s">
        <v>19</v>
      </c>
      <c r="M199" t="s">
        <v>25</v>
      </c>
    </row>
    <row r="200" spans="1:13" x14ac:dyDescent="0.35">
      <c r="A200" t="s">
        <v>487</v>
      </c>
      <c r="B200" s="11">
        <v>45296</v>
      </c>
      <c r="C200" s="12">
        <v>0.96388888888888891</v>
      </c>
      <c r="D200" t="s">
        <v>488</v>
      </c>
      <c r="E200" t="s">
        <v>31</v>
      </c>
      <c r="F200">
        <v>57</v>
      </c>
      <c r="G200" t="s">
        <v>90</v>
      </c>
      <c r="H200" t="s">
        <v>34</v>
      </c>
      <c r="I200" t="s">
        <v>8</v>
      </c>
      <c r="J200">
        <v>7</v>
      </c>
      <c r="K200">
        <v>17</v>
      </c>
      <c r="L200" t="s">
        <v>21</v>
      </c>
      <c r="M200" t="s">
        <v>26</v>
      </c>
    </row>
    <row r="201" spans="1:13" x14ac:dyDescent="0.35">
      <c r="A201" t="s">
        <v>489</v>
      </c>
      <c r="B201" s="11">
        <v>45299</v>
      </c>
      <c r="C201" s="12">
        <v>0.77013888888888893</v>
      </c>
      <c r="D201" t="s">
        <v>490</v>
      </c>
      <c r="E201" t="s">
        <v>31</v>
      </c>
      <c r="F201">
        <v>78</v>
      </c>
      <c r="G201" t="s">
        <v>90</v>
      </c>
      <c r="H201" t="s">
        <v>40</v>
      </c>
      <c r="I201" t="s">
        <v>8</v>
      </c>
      <c r="J201">
        <v>4</v>
      </c>
      <c r="K201">
        <v>49</v>
      </c>
      <c r="L201" t="s">
        <v>23</v>
      </c>
      <c r="M201" t="s">
        <v>25</v>
      </c>
    </row>
    <row r="202" spans="1:13" x14ac:dyDescent="0.35">
      <c r="A202" t="s">
        <v>491</v>
      </c>
      <c r="B202" s="11">
        <v>45305</v>
      </c>
      <c r="C202" s="12">
        <v>0.24652777777777779</v>
      </c>
      <c r="D202" t="s">
        <v>492</v>
      </c>
      <c r="E202" t="s">
        <v>30</v>
      </c>
      <c r="F202">
        <v>36</v>
      </c>
      <c r="G202" t="s">
        <v>90</v>
      </c>
      <c r="H202" t="s">
        <v>40</v>
      </c>
      <c r="I202" t="s">
        <v>8</v>
      </c>
      <c r="J202">
        <v>3</v>
      </c>
      <c r="K202">
        <v>33</v>
      </c>
      <c r="L202" t="s">
        <v>19</v>
      </c>
      <c r="M202" t="s">
        <v>25</v>
      </c>
    </row>
    <row r="203" spans="1:13" x14ac:dyDescent="0.35">
      <c r="A203" t="s">
        <v>493</v>
      </c>
      <c r="B203" s="11">
        <v>45306</v>
      </c>
      <c r="C203" s="12">
        <v>0.72083333333333333</v>
      </c>
      <c r="D203" t="s">
        <v>494</v>
      </c>
      <c r="E203" t="s">
        <v>30</v>
      </c>
      <c r="F203">
        <v>3</v>
      </c>
      <c r="G203" t="s">
        <v>90</v>
      </c>
      <c r="H203" t="s">
        <v>34</v>
      </c>
      <c r="I203" t="s">
        <v>8</v>
      </c>
      <c r="J203">
        <v>9</v>
      </c>
      <c r="K203">
        <v>11</v>
      </c>
      <c r="L203" t="s">
        <v>16</v>
      </c>
      <c r="M203" t="s">
        <v>26</v>
      </c>
    </row>
    <row r="204" spans="1:13" x14ac:dyDescent="0.35">
      <c r="A204" t="s">
        <v>495</v>
      </c>
      <c r="B204" s="11">
        <v>45307</v>
      </c>
      <c r="C204" s="12">
        <v>0.69861111111111107</v>
      </c>
      <c r="D204" t="s">
        <v>496</v>
      </c>
      <c r="E204" t="s">
        <v>30</v>
      </c>
      <c r="F204">
        <v>37</v>
      </c>
      <c r="G204" t="s">
        <v>90</v>
      </c>
      <c r="H204" t="s">
        <v>41</v>
      </c>
      <c r="I204" t="s">
        <v>8</v>
      </c>
      <c r="J204">
        <v>6</v>
      </c>
      <c r="K204">
        <v>56</v>
      </c>
      <c r="L204" t="s">
        <v>19</v>
      </c>
      <c r="M204" t="s">
        <v>25</v>
      </c>
    </row>
    <row r="205" spans="1:13" x14ac:dyDescent="0.35">
      <c r="A205" t="s">
        <v>497</v>
      </c>
      <c r="B205" s="11">
        <v>45319</v>
      </c>
      <c r="C205" s="12">
        <v>0.4861111111111111</v>
      </c>
      <c r="D205" t="s">
        <v>498</v>
      </c>
      <c r="E205" t="s">
        <v>31</v>
      </c>
      <c r="F205">
        <v>54</v>
      </c>
      <c r="G205" t="s">
        <v>90</v>
      </c>
      <c r="H205" t="s">
        <v>40</v>
      </c>
      <c r="I205" t="s">
        <v>8</v>
      </c>
      <c r="J205">
        <v>6</v>
      </c>
      <c r="K205">
        <v>23</v>
      </c>
      <c r="L205" t="s">
        <v>21</v>
      </c>
      <c r="M205" t="s">
        <v>26</v>
      </c>
    </row>
    <row r="206" spans="1:13" x14ac:dyDescent="0.35">
      <c r="A206" t="s">
        <v>499</v>
      </c>
      <c r="B206" s="11">
        <v>45295</v>
      </c>
      <c r="C206" s="12">
        <v>0.62083333333333335</v>
      </c>
      <c r="D206" t="s">
        <v>500</v>
      </c>
      <c r="E206" t="s">
        <v>30</v>
      </c>
      <c r="F206">
        <v>6</v>
      </c>
      <c r="G206" t="s">
        <v>167</v>
      </c>
      <c r="H206" t="s">
        <v>39</v>
      </c>
      <c r="I206" t="s">
        <v>8</v>
      </c>
      <c r="J206">
        <v>6</v>
      </c>
      <c r="K206">
        <v>42</v>
      </c>
      <c r="L206" t="s">
        <v>16</v>
      </c>
      <c r="M206" t="s">
        <v>25</v>
      </c>
    </row>
    <row r="207" spans="1:13" x14ac:dyDescent="0.35">
      <c r="A207" t="s">
        <v>501</v>
      </c>
      <c r="B207" s="11">
        <v>45309</v>
      </c>
      <c r="C207" s="12">
        <v>0.74652777777777779</v>
      </c>
      <c r="D207" t="s">
        <v>502</v>
      </c>
      <c r="E207" t="s">
        <v>31</v>
      </c>
      <c r="F207">
        <v>15</v>
      </c>
      <c r="G207" t="s">
        <v>167</v>
      </c>
      <c r="H207" t="s">
        <v>39</v>
      </c>
      <c r="I207" t="s">
        <v>8</v>
      </c>
      <c r="J207">
        <v>0</v>
      </c>
      <c r="K207">
        <v>43</v>
      </c>
      <c r="L207" t="s">
        <v>17</v>
      </c>
      <c r="M207" t="s">
        <v>25</v>
      </c>
    </row>
    <row r="208" spans="1:13" x14ac:dyDescent="0.35">
      <c r="A208" t="s">
        <v>503</v>
      </c>
      <c r="B208" s="11">
        <v>45298</v>
      </c>
      <c r="C208" s="12">
        <v>0.43888888888888888</v>
      </c>
      <c r="D208" t="s">
        <v>504</v>
      </c>
      <c r="E208" t="s">
        <v>31</v>
      </c>
      <c r="F208">
        <v>77</v>
      </c>
      <c r="G208" t="s">
        <v>233</v>
      </c>
      <c r="H208" t="s">
        <v>39</v>
      </c>
      <c r="I208" t="s">
        <v>8</v>
      </c>
      <c r="J208">
        <v>3</v>
      </c>
      <c r="K208">
        <v>28</v>
      </c>
      <c r="L208" t="s">
        <v>23</v>
      </c>
      <c r="M208" t="s">
        <v>26</v>
      </c>
    </row>
    <row r="209" spans="1:13" x14ac:dyDescent="0.35">
      <c r="A209" t="s">
        <v>505</v>
      </c>
      <c r="B209" s="11">
        <v>45299</v>
      </c>
      <c r="C209" s="12">
        <v>0.77708333333333335</v>
      </c>
      <c r="D209" t="s">
        <v>506</v>
      </c>
      <c r="E209" t="s">
        <v>31</v>
      </c>
      <c r="F209">
        <v>64</v>
      </c>
      <c r="G209" t="s">
        <v>200</v>
      </c>
      <c r="H209" t="s">
        <v>39</v>
      </c>
      <c r="I209" t="s">
        <v>8</v>
      </c>
      <c r="J209">
        <v>10</v>
      </c>
      <c r="K209">
        <v>21</v>
      </c>
      <c r="L209" t="s">
        <v>22</v>
      </c>
      <c r="M209" t="s">
        <v>26</v>
      </c>
    </row>
    <row r="210" spans="1:13" x14ac:dyDescent="0.35">
      <c r="A210" t="s">
        <v>507</v>
      </c>
      <c r="B210" s="11">
        <v>45305</v>
      </c>
      <c r="C210" s="12">
        <v>0.1125</v>
      </c>
      <c r="D210" t="s">
        <v>508</v>
      </c>
      <c r="E210" t="s">
        <v>31</v>
      </c>
      <c r="F210">
        <v>16</v>
      </c>
      <c r="G210" t="s">
        <v>262</v>
      </c>
      <c r="H210" t="s">
        <v>39</v>
      </c>
      <c r="I210" t="s">
        <v>8</v>
      </c>
      <c r="J210">
        <v>0</v>
      </c>
      <c r="K210">
        <v>22</v>
      </c>
      <c r="L210" t="s">
        <v>17</v>
      </c>
      <c r="M210" t="s">
        <v>26</v>
      </c>
    </row>
    <row r="211" spans="1:13" x14ac:dyDescent="0.35">
      <c r="A211" t="s">
        <v>509</v>
      </c>
      <c r="B211" s="11">
        <v>45309</v>
      </c>
      <c r="C211" s="12">
        <v>0.9194444444444444</v>
      </c>
      <c r="D211" t="s">
        <v>510</v>
      </c>
      <c r="E211" t="s">
        <v>31</v>
      </c>
      <c r="F211">
        <v>66</v>
      </c>
      <c r="G211" t="s">
        <v>233</v>
      </c>
      <c r="H211" t="s">
        <v>39</v>
      </c>
      <c r="I211" t="s">
        <v>8</v>
      </c>
      <c r="J211">
        <v>10</v>
      </c>
      <c r="K211">
        <v>44</v>
      </c>
      <c r="L211" t="s">
        <v>22</v>
      </c>
      <c r="M211" t="s">
        <v>25</v>
      </c>
    </row>
    <row r="212" spans="1:13" x14ac:dyDescent="0.35">
      <c r="A212" t="s">
        <v>511</v>
      </c>
      <c r="B212" s="11">
        <v>45311</v>
      </c>
      <c r="C212" s="12">
        <v>0.56805555555555554</v>
      </c>
      <c r="D212" t="s">
        <v>512</v>
      </c>
      <c r="E212" t="s">
        <v>30</v>
      </c>
      <c r="F212">
        <v>49</v>
      </c>
      <c r="G212" t="s">
        <v>90</v>
      </c>
      <c r="H212" t="s">
        <v>39</v>
      </c>
      <c r="I212" t="s">
        <v>8</v>
      </c>
      <c r="J212">
        <v>9</v>
      </c>
      <c r="K212">
        <v>45</v>
      </c>
      <c r="L212" t="s">
        <v>20</v>
      </c>
      <c r="M212" t="s">
        <v>25</v>
      </c>
    </row>
    <row r="213" spans="1:13" x14ac:dyDescent="0.35">
      <c r="A213" t="s">
        <v>513</v>
      </c>
      <c r="B213" s="11">
        <v>45313</v>
      </c>
      <c r="C213" s="12">
        <v>0.14930555555555555</v>
      </c>
      <c r="D213" t="s">
        <v>514</v>
      </c>
      <c r="E213" t="s">
        <v>30</v>
      </c>
      <c r="F213">
        <v>79</v>
      </c>
      <c r="G213" t="s">
        <v>90</v>
      </c>
      <c r="H213" t="s">
        <v>39</v>
      </c>
      <c r="I213" t="s">
        <v>8</v>
      </c>
      <c r="J213">
        <v>7</v>
      </c>
      <c r="K213">
        <v>14</v>
      </c>
      <c r="L213" t="s">
        <v>23</v>
      </c>
      <c r="M213" t="s">
        <v>26</v>
      </c>
    </row>
    <row r="214" spans="1:13" x14ac:dyDescent="0.35">
      <c r="A214" t="s">
        <v>515</v>
      </c>
      <c r="B214" s="11">
        <v>45318</v>
      </c>
      <c r="C214" s="12">
        <v>0.18124999999999999</v>
      </c>
      <c r="D214" t="s">
        <v>516</v>
      </c>
      <c r="E214" t="s">
        <v>31</v>
      </c>
      <c r="F214">
        <v>26</v>
      </c>
      <c r="G214" t="s">
        <v>90</v>
      </c>
      <c r="H214" t="s">
        <v>39</v>
      </c>
      <c r="I214" t="s">
        <v>8</v>
      </c>
      <c r="J214">
        <v>6</v>
      </c>
      <c r="K214">
        <v>57</v>
      </c>
      <c r="L214" t="s">
        <v>18</v>
      </c>
      <c r="M214" t="s">
        <v>25</v>
      </c>
    </row>
    <row r="215" spans="1:13" x14ac:dyDescent="0.35">
      <c r="A215" t="s">
        <v>517</v>
      </c>
      <c r="B215" s="11">
        <v>45296</v>
      </c>
      <c r="C215" s="12">
        <v>0.80138888888888893</v>
      </c>
      <c r="D215" t="s">
        <v>518</v>
      </c>
      <c r="E215" t="s">
        <v>30</v>
      </c>
      <c r="F215">
        <v>9</v>
      </c>
      <c r="G215" t="s">
        <v>200</v>
      </c>
      <c r="H215" t="s">
        <v>36</v>
      </c>
      <c r="I215" t="s">
        <v>8</v>
      </c>
      <c r="J215">
        <v>10</v>
      </c>
      <c r="K215">
        <v>28</v>
      </c>
      <c r="L215" t="s">
        <v>16</v>
      </c>
      <c r="M215" t="s">
        <v>26</v>
      </c>
    </row>
    <row r="216" spans="1:13" x14ac:dyDescent="0.35">
      <c r="A216" t="s">
        <v>519</v>
      </c>
      <c r="B216" s="11">
        <v>45322</v>
      </c>
      <c r="C216" s="12">
        <v>0.34444444444444444</v>
      </c>
      <c r="D216" t="s">
        <v>520</v>
      </c>
      <c r="E216" t="s">
        <v>30</v>
      </c>
      <c r="F216">
        <v>53</v>
      </c>
      <c r="G216" t="s">
        <v>200</v>
      </c>
      <c r="H216" t="s">
        <v>36</v>
      </c>
      <c r="I216" t="s">
        <v>8</v>
      </c>
      <c r="J216">
        <v>0</v>
      </c>
      <c r="K216">
        <v>41</v>
      </c>
      <c r="L216" t="s">
        <v>21</v>
      </c>
      <c r="M216" t="s">
        <v>25</v>
      </c>
    </row>
    <row r="217" spans="1:13" x14ac:dyDescent="0.35">
      <c r="A217" t="s">
        <v>521</v>
      </c>
      <c r="B217" s="11">
        <v>45306</v>
      </c>
      <c r="C217" s="12">
        <v>0.22916666666666666</v>
      </c>
      <c r="D217" t="s">
        <v>522</v>
      </c>
      <c r="E217" t="s">
        <v>30</v>
      </c>
      <c r="F217">
        <v>49</v>
      </c>
      <c r="G217" t="s">
        <v>296</v>
      </c>
      <c r="H217" t="s">
        <v>36</v>
      </c>
      <c r="I217" t="s">
        <v>8</v>
      </c>
      <c r="J217">
        <v>1</v>
      </c>
      <c r="K217">
        <v>11</v>
      </c>
      <c r="L217" t="s">
        <v>20</v>
      </c>
      <c r="M217" t="s">
        <v>26</v>
      </c>
    </row>
    <row r="218" spans="1:13" x14ac:dyDescent="0.35">
      <c r="A218" t="s">
        <v>523</v>
      </c>
      <c r="B218" s="11">
        <v>45311</v>
      </c>
      <c r="C218" s="12">
        <v>0.99791666666666667</v>
      </c>
      <c r="D218" t="s">
        <v>524</v>
      </c>
      <c r="E218" t="s">
        <v>30</v>
      </c>
      <c r="F218">
        <v>23</v>
      </c>
      <c r="G218" t="s">
        <v>233</v>
      </c>
      <c r="H218" t="s">
        <v>36</v>
      </c>
      <c r="I218" t="s">
        <v>8</v>
      </c>
      <c r="J218">
        <v>10</v>
      </c>
      <c r="K218">
        <v>42</v>
      </c>
      <c r="L218" t="s">
        <v>18</v>
      </c>
      <c r="M218" t="s">
        <v>25</v>
      </c>
    </row>
    <row r="219" spans="1:13" x14ac:dyDescent="0.35">
      <c r="A219" t="s">
        <v>525</v>
      </c>
      <c r="B219" s="11">
        <v>45299</v>
      </c>
      <c r="C219" s="12">
        <v>0.89166666666666672</v>
      </c>
      <c r="D219" t="s">
        <v>526</v>
      </c>
      <c r="E219" t="s">
        <v>30</v>
      </c>
      <c r="F219">
        <v>17</v>
      </c>
      <c r="G219" t="s">
        <v>167</v>
      </c>
      <c r="H219" t="s">
        <v>36</v>
      </c>
      <c r="I219" t="s">
        <v>8</v>
      </c>
      <c r="J219">
        <v>10</v>
      </c>
      <c r="K219">
        <v>58</v>
      </c>
      <c r="L219" t="s">
        <v>17</v>
      </c>
      <c r="M219" t="s">
        <v>25</v>
      </c>
    </row>
    <row r="220" spans="1:13" x14ac:dyDescent="0.35">
      <c r="A220" t="s">
        <v>527</v>
      </c>
      <c r="B220" s="11">
        <v>45313</v>
      </c>
      <c r="C220" s="12">
        <v>0.34930555555555554</v>
      </c>
      <c r="D220" t="s">
        <v>528</v>
      </c>
      <c r="E220" t="s">
        <v>31</v>
      </c>
      <c r="F220">
        <v>54</v>
      </c>
      <c r="G220" t="s">
        <v>167</v>
      </c>
      <c r="H220" t="s">
        <v>36</v>
      </c>
      <c r="I220" t="s">
        <v>8</v>
      </c>
      <c r="J220">
        <v>5</v>
      </c>
      <c r="K220">
        <v>36</v>
      </c>
      <c r="L220" t="s">
        <v>21</v>
      </c>
      <c r="M220" t="s">
        <v>25</v>
      </c>
    </row>
    <row r="221" spans="1:13" x14ac:dyDescent="0.35">
      <c r="A221" t="s">
        <v>529</v>
      </c>
      <c r="B221" s="11">
        <v>45320</v>
      </c>
      <c r="C221" s="12">
        <v>0.2</v>
      </c>
      <c r="D221" t="s">
        <v>530</v>
      </c>
      <c r="E221" t="s">
        <v>30</v>
      </c>
      <c r="F221">
        <v>67</v>
      </c>
      <c r="G221" t="s">
        <v>167</v>
      </c>
      <c r="H221" t="s">
        <v>36</v>
      </c>
      <c r="I221" t="s">
        <v>8</v>
      </c>
      <c r="J221">
        <v>4</v>
      </c>
      <c r="K221">
        <v>17</v>
      </c>
      <c r="L221" t="s">
        <v>22</v>
      </c>
      <c r="M221" t="s">
        <v>26</v>
      </c>
    </row>
    <row r="222" spans="1:13" x14ac:dyDescent="0.35">
      <c r="A222" t="s">
        <v>531</v>
      </c>
      <c r="B222" s="11">
        <v>45296</v>
      </c>
      <c r="C222" s="12">
        <v>7.2222222222222215E-2</v>
      </c>
      <c r="D222" t="s">
        <v>532</v>
      </c>
      <c r="E222" t="s">
        <v>31</v>
      </c>
      <c r="F222">
        <v>37</v>
      </c>
      <c r="G222" t="s">
        <v>90</v>
      </c>
      <c r="H222" t="s">
        <v>36</v>
      </c>
      <c r="I222" t="s">
        <v>8</v>
      </c>
      <c r="J222">
        <v>6</v>
      </c>
      <c r="K222">
        <v>14</v>
      </c>
      <c r="L222" t="s">
        <v>19</v>
      </c>
      <c r="M222" t="s">
        <v>26</v>
      </c>
    </row>
    <row r="223" spans="1:13" x14ac:dyDescent="0.35">
      <c r="A223" t="s">
        <v>533</v>
      </c>
      <c r="B223" s="11">
        <v>45306</v>
      </c>
      <c r="C223" s="12">
        <v>0.1361111111111111</v>
      </c>
      <c r="D223" t="s">
        <v>534</v>
      </c>
      <c r="E223" t="s">
        <v>31</v>
      </c>
      <c r="F223">
        <v>7</v>
      </c>
      <c r="G223" t="s">
        <v>90</v>
      </c>
      <c r="H223" t="s">
        <v>36</v>
      </c>
      <c r="I223" t="s">
        <v>8</v>
      </c>
      <c r="J223">
        <v>5</v>
      </c>
      <c r="K223">
        <v>23</v>
      </c>
      <c r="L223" t="s">
        <v>16</v>
      </c>
      <c r="M223" t="s">
        <v>26</v>
      </c>
    </row>
    <row r="224" spans="1:13" x14ac:dyDescent="0.35">
      <c r="A224" t="s">
        <v>535</v>
      </c>
      <c r="B224" s="11">
        <v>45318</v>
      </c>
      <c r="C224" s="12">
        <v>0.32916666666666666</v>
      </c>
      <c r="D224" t="s">
        <v>536</v>
      </c>
      <c r="E224" t="s">
        <v>31</v>
      </c>
      <c r="F224">
        <v>53</v>
      </c>
      <c r="G224" t="s">
        <v>90</v>
      </c>
      <c r="H224" t="s">
        <v>36</v>
      </c>
      <c r="I224" t="s">
        <v>8</v>
      </c>
      <c r="J224">
        <v>6</v>
      </c>
      <c r="K224">
        <v>57</v>
      </c>
      <c r="L224" t="s">
        <v>21</v>
      </c>
      <c r="M224" t="s">
        <v>25</v>
      </c>
    </row>
    <row r="225" spans="1:13" x14ac:dyDescent="0.35">
      <c r="A225" t="s">
        <v>537</v>
      </c>
      <c r="B225" s="11">
        <v>45292</v>
      </c>
      <c r="C225" s="12">
        <v>0.9916666666666667</v>
      </c>
      <c r="D225" t="s">
        <v>538</v>
      </c>
      <c r="E225" t="s">
        <v>30</v>
      </c>
      <c r="F225">
        <v>5</v>
      </c>
      <c r="G225" t="s">
        <v>233</v>
      </c>
      <c r="H225" t="s">
        <v>38</v>
      </c>
      <c r="I225" t="s">
        <v>8</v>
      </c>
      <c r="J225">
        <v>3</v>
      </c>
      <c r="K225">
        <v>47</v>
      </c>
      <c r="L225" t="s">
        <v>16</v>
      </c>
      <c r="M225" t="s">
        <v>25</v>
      </c>
    </row>
    <row r="226" spans="1:13" x14ac:dyDescent="0.35">
      <c r="A226" t="s">
        <v>539</v>
      </c>
      <c r="B226" s="11">
        <v>45295</v>
      </c>
      <c r="C226" s="12">
        <v>0.95138888888888884</v>
      </c>
      <c r="D226" t="s">
        <v>540</v>
      </c>
      <c r="E226" t="s">
        <v>31</v>
      </c>
      <c r="F226">
        <v>27</v>
      </c>
      <c r="G226" t="s">
        <v>233</v>
      </c>
      <c r="H226" t="s">
        <v>38</v>
      </c>
      <c r="I226" t="s">
        <v>8</v>
      </c>
      <c r="J226">
        <v>4</v>
      </c>
      <c r="K226">
        <v>23</v>
      </c>
      <c r="L226" t="s">
        <v>18</v>
      </c>
      <c r="M226" t="s">
        <v>26</v>
      </c>
    </row>
    <row r="227" spans="1:13" x14ac:dyDescent="0.35">
      <c r="A227" t="s">
        <v>541</v>
      </c>
      <c r="B227" s="11">
        <v>45318</v>
      </c>
      <c r="C227" s="12">
        <v>0.40347222222222223</v>
      </c>
      <c r="D227" t="s">
        <v>542</v>
      </c>
      <c r="E227" t="s">
        <v>30</v>
      </c>
      <c r="F227">
        <v>41</v>
      </c>
      <c r="G227" t="s">
        <v>233</v>
      </c>
      <c r="H227" t="s">
        <v>38</v>
      </c>
      <c r="I227" t="s">
        <v>8</v>
      </c>
      <c r="J227">
        <v>1</v>
      </c>
      <c r="K227">
        <v>14</v>
      </c>
      <c r="L227" t="s">
        <v>20</v>
      </c>
      <c r="M227" t="s">
        <v>26</v>
      </c>
    </row>
    <row r="228" spans="1:13" x14ac:dyDescent="0.35">
      <c r="A228" t="s">
        <v>543</v>
      </c>
      <c r="B228" s="11">
        <v>45320</v>
      </c>
      <c r="C228" s="12">
        <v>0.24027777777777778</v>
      </c>
      <c r="D228" t="s">
        <v>544</v>
      </c>
      <c r="E228" t="s">
        <v>30</v>
      </c>
      <c r="F228">
        <v>33</v>
      </c>
      <c r="G228" t="s">
        <v>233</v>
      </c>
      <c r="H228" t="s">
        <v>38</v>
      </c>
      <c r="I228" t="s">
        <v>8</v>
      </c>
      <c r="J228">
        <v>6</v>
      </c>
      <c r="K228">
        <v>23</v>
      </c>
      <c r="L228" t="s">
        <v>19</v>
      </c>
      <c r="M228" t="s">
        <v>26</v>
      </c>
    </row>
    <row r="229" spans="1:13" x14ac:dyDescent="0.35">
      <c r="A229" t="s">
        <v>545</v>
      </c>
      <c r="B229" s="11">
        <v>45321</v>
      </c>
      <c r="C229" s="12">
        <v>0.83611111111111114</v>
      </c>
      <c r="D229" t="s">
        <v>546</v>
      </c>
      <c r="E229" t="s">
        <v>31</v>
      </c>
      <c r="F229">
        <v>73</v>
      </c>
      <c r="G229" t="s">
        <v>233</v>
      </c>
      <c r="H229" t="s">
        <v>38</v>
      </c>
      <c r="I229" t="s">
        <v>8</v>
      </c>
      <c r="J229">
        <v>7</v>
      </c>
      <c r="K229">
        <v>26</v>
      </c>
      <c r="L229" t="s">
        <v>23</v>
      </c>
      <c r="M229" t="s">
        <v>26</v>
      </c>
    </row>
    <row r="230" spans="1:13" x14ac:dyDescent="0.35">
      <c r="A230" t="s">
        <v>547</v>
      </c>
      <c r="B230" s="11">
        <v>45292</v>
      </c>
      <c r="C230" s="12">
        <v>0.37291666666666667</v>
      </c>
      <c r="D230" t="s">
        <v>548</v>
      </c>
      <c r="E230" t="s">
        <v>30</v>
      </c>
      <c r="F230">
        <v>5</v>
      </c>
      <c r="G230" t="s">
        <v>262</v>
      </c>
      <c r="H230" t="s">
        <v>38</v>
      </c>
      <c r="I230" t="s">
        <v>8</v>
      </c>
      <c r="J230">
        <v>5</v>
      </c>
      <c r="K230">
        <v>14</v>
      </c>
      <c r="L230" t="s">
        <v>16</v>
      </c>
      <c r="M230" t="s">
        <v>26</v>
      </c>
    </row>
    <row r="231" spans="1:13" x14ac:dyDescent="0.35">
      <c r="A231" t="s">
        <v>549</v>
      </c>
      <c r="B231" s="11">
        <v>45302</v>
      </c>
      <c r="C231" s="12">
        <v>0.93194444444444446</v>
      </c>
      <c r="D231" t="s">
        <v>550</v>
      </c>
      <c r="E231" t="s">
        <v>31</v>
      </c>
      <c r="F231">
        <v>42</v>
      </c>
      <c r="G231" t="s">
        <v>262</v>
      </c>
      <c r="H231" t="s">
        <v>38</v>
      </c>
      <c r="I231" t="s">
        <v>8</v>
      </c>
      <c r="J231">
        <v>10</v>
      </c>
      <c r="K231">
        <v>57</v>
      </c>
      <c r="L231" t="s">
        <v>20</v>
      </c>
      <c r="M231" t="s">
        <v>25</v>
      </c>
    </row>
    <row r="232" spans="1:13" x14ac:dyDescent="0.35">
      <c r="A232" t="s">
        <v>551</v>
      </c>
      <c r="B232" s="11">
        <v>45302</v>
      </c>
      <c r="C232" s="12">
        <v>0.52847222222222223</v>
      </c>
      <c r="D232" t="s">
        <v>552</v>
      </c>
      <c r="E232" t="s">
        <v>31</v>
      </c>
      <c r="F232">
        <v>77</v>
      </c>
      <c r="G232" t="s">
        <v>262</v>
      </c>
      <c r="H232" t="s">
        <v>38</v>
      </c>
      <c r="I232" t="s">
        <v>8</v>
      </c>
      <c r="J232">
        <v>4</v>
      </c>
      <c r="K232">
        <v>44</v>
      </c>
      <c r="L232" t="s">
        <v>23</v>
      </c>
      <c r="M232" t="s">
        <v>25</v>
      </c>
    </row>
    <row r="233" spans="1:13" x14ac:dyDescent="0.35">
      <c r="A233" t="s">
        <v>553</v>
      </c>
      <c r="B233" s="11">
        <v>45304</v>
      </c>
      <c r="C233" s="12">
        <v>0.34375</v>
      </c>
      <c r="D233" t="s">
        <v>554</v>
      </c>
      <c r="E233" t="s">
        <v>31</v>
      </c>
      <c r="F233">
        <v>28</v>
      </c>
      <c r="G233" t="s">
        <v>262</v>
      </c>
      <c r="H233" t="s">
        <v>38</v>
      </c>
      <c r="I233" t="s">
        <v>8</v>
      </c>
      <c r="J233">
        <v>9</v>
      </c>
      <c r="K233">
        <v>55</v>
      </c>
      <c r="L233" t="s">
        <v>18</v>
      </c>
      <c r="M233" t="s">
        <v>25</v>
      </c>
    </row>
    <row r="234" spans="1:13" x14ac:dyDescent="0.35">
      <c r="A234" t="s">
        <v>555</v>
      </c>
      <c r="B234" s="11">
        <v>45307</v>
      </c>
      <c r="C234" s="12">
        <v>0.45416666666666666</v>
      </c>
      <c r="D234" t="s">
        <v>556</v>
      </c>
      <c r="E234" t="s">
        <v>30</v>
      </c>
      <c r="F234">
        <v>50</v>
      </c>
      <c r="G234" t="s">
        <v>262</v>
      </c>
      <c r="H234" t="s">
        <v>38</v>
      </c>
      <c r="I234" t="s">
        <v>8</v>
      </c>
      <c r="J234">
        <v>7</v>
      </c>
      <c r="K234">
        <v>35</v>
      </c>
      <c r="L234" t="s">
        <v>20</v>
      </c>
      <c r="M234" t="s">
        <v>25</v>
      </c>
    </row>
    <row r="235" spans="1:13" x14ac:dyDescent="0.35">
      <c r="A235" t="s">
        <v>557</v>
      </c>
      <c r="B235" s="11">
        <v>45308</v>
      </c>
      <c r="C235" s="12">
        <v>0.71388888888888891</v>
      </c>
      <c r="D235" t="s">
        <v>558</v>
      </c>
      <c r="E235" t="s">
        <v>30</v>
      </c>
      <c r="F235">
        <v>47</v>
      </c>
      <c r="G235" t="s">
        <v>262</v>
      </c>
      <c r="H235" t="s">
        <v>38</v>
      </c>
      <c r="I235" t="s">
        <v>8</v>
      </c>
      <c r="J235">
        <v>0</v>
      </c>
      <c r="K235">
        <v>52</v>
      </c>
      <c r="L235" t="s">
        <v>20</v>
      </c>
      <c r="M235" t="s">
        <v>25</v>
      </c>
    </row>
    <row r="236" spans="1:13" x14ac:dyDescent="0.35">
      <c r="A236" t="s">
        <v>559</v>
      </c>
      <c r="B236" s="11">
        <v>45309</v>
      </c>
      <c r="C236" s="12">
        <v>0.54652777777777772</v>
      </c>
      <c r="D236" t="s">
        <v>560</v>
      </c>
      <c r="E236" t="s">
        <v>30</v>
      </c>
      <c r="F236">
        <v>10</v>
      </c>
      <c r="G236" t="s">
        <v>262</v>
      </c>
      <c r="H236" t="s">
        <v>38</v>
      </c>
      <c r="I236" t="s">
        <v>8</v>
      </c>
      <c r="J236">
        <v>6</v>
      </c>
      <c r="K236">
        <v>18</v>
      </c>
      <c r="L236" t="s">
        <v>16</v>
      </c>
      <c r="M236" t="s">
        <v>26</v>
      </c>
    </row>
    <row r="237" spans="1:13" x14ac:dyDescent="0.35">
      <c r="A237" t="s">
        <v>561</v>
      </c>
      <c r="B237" s="11">
        <v>45322</v>
      </c>
      <c r="C237" s="12">
        <v>0.62361111111111112</v>
      </c>
      <c r="D237" t="s">
        <v>562</v>
      </c>
      <c r="E237" t="s">
        <v>31</v>
      </c>
      <c r="F237">
        <v>4</v>
      </c>
      <c r="G237" t="s">
        <v>262</v>
      </c>
      <c r="H237" t="s">
        <v>38</v>
      </c>
      <c r="I237" t="s">
        <v>8</v>
      </c>
      <c r="J237">
        <v>1</v>
      </c>
      <c r="K237">
        <v>12</v>
      </c>
      <c r="L237" t="s">
        <v>16</v>
      </c>
      <c r="M237" t="s">
        <v>26</v>
      </c>
    </row>
    <row r="238" spans="1:13" x14ac:dyDescent="0.35">
      <c r="A238" t="s">
        <v>563</v>
      </c>
      <c r="B238" s="11">
        <v>45300</v>
      </c>
      <c r="C238" s="12">
        <v>0.99444444444444446</v>
      </c>
      <c r="D238" t="s">
        <v>564</v>
      </c>
      <c r="E238" t="s">
        <v>30</v>
      </c>
      <c r="F238">
        <v>65</v>
      </c>
      <c r="G238" t="s">
        <v>289</v>
      </c>
      <c r="H238" t="s">
        <v>38</v>
      </c>
      <c r="I238" t="s">
        <v>8</v>
      </c>
      <c r="J238">
        <v>6</v>
      </c>
      <c r="K238">
        <v>13</v>
      </c>
      <c r="L238" t="s">
        <v>22</v>
      </c>
      <c r="M238" t="s">
        <v>26</v>
      </c>
    </row>
    <row r="239" spans="1:13" x14ac:dyDescent="0.35">
      <c r="A239" t="s">
        <v>565</v>
      </c>
      <c r="B239" s="11">
        <v>45306</v>
      </c>
      <c r="C239" s="12">
        <v>0.30625000000000002</v>
      </c>
      <c r="D239" t="s">
        <v>566</v>
      </c>
      <c r="E239" t="s">
        <v>31</v>
      </c>
      <c r="F239">
        <v>6</v>
      </c>
      <c r="G239" t="s">
        <v>289</v>
      </c>
      <c r="H239" t="s">
        <v>38</v>
      </c>
      <c r="I239" t="s">
        <v>8</v>
      </c>
      <c r="J239">
        <v>7</v>
      </c>
      <c r="K239">
        <v>24</v>
      </c>
      <c r="L239" t="s">
        <v>16</v>
      </c>
      <c r="M239" t="s">
        <v>26</v>
      </c>
    </row>
    <row r="240" spans="1:13" x14ac:dyDescent="0.35">
      <c r="A240" t="s">
        <v>567</v>
      </c>
      <c r="B240" s="11">
        <v>45308</v>
      </c>
      <c r="C240" s="12">
        <v>0.78680555555555554</v>
      </c>
      <c r="D240" t="s">
        <v>568</v>
      </c>
      <c r="E240" t="s">
        <v>30</v>
      </c>
      <c r="F240">
        <v>39</v>
      </c>
      <c r="G240" t="s">
        <v>289</v>
      </c>
      <c r="H240" t="s">
        <v>38</v>
      </c>
      <c r="I240" t="s">
        <v>8</v>
      </c>
      <c r="J240">
        <v>8</v>
      </c>
      <c r="K240">
        <v>22</v>
      </c>
      <c r="L240" t="s">
        <v>19</v>
      </c>
      <c r="M240" t="s">
        <v>26</v>
      </c>
    </row>
    <row r="241" spans="1:13" x14ac:dyDescent="0.35">
      <c r="A241" t="s">
        <v>569</v>
      </c>
      <c r="B241" s="11">
        <v>45314</v>
      </c>
      <c r="C241" s="12">
        <v>0.40347222222222223</v>
      </c>
      <c r="D241" t="s">
        <v>570</v>
      </c>
      <c r="E241" t="s">
        <v>31</v>
      </c>
      <c r="F241">
        <v>56</v>
      </c>
      <c r="G241" t="s">
        <v>289</v>
      </c>
      <c r="H241" t="s">
        <v>38</v>
      </c>
      <c r="I241" t="s">
        <v>8</v>
      </c>
      <c r="J241">
        <v>0</v>
      </c>
      <c r="K241">
        <v>18</v>
      </c>
      <c r="L241" t="s">
        <v>21</v>
      </c>
      <c r="M241" t="s">
        <v>26</v>
      </c>
    </row>
    <row r="242" spans="1:13" x14ac:dyDescent="0.35">
      <c r="A242" t="s">
        <v>571</v>
      </c>
      <c r="B242" s="11">
        <v>45292</v>
      </c>
      <c r="C242" s="12">
        <v>0.46597222222222223</v>
      </c>
      <c r="D242" t="s">
        <v>572</v>
      </c>
      <c r="E242" t="s">
        <v>31</v>
      </c>
      <c r="F242">
        <v>55</v>
      </c>
      <c r="G242" t="s">
        <v>296</v>
      </c>
      <c r="H242" t="s">
        <v>38</v>
      </c>
      <c r="I242" t="s">
        <v>8</v>
      </c>
      <c r="J242">
        <v>10</v>
      </c>
      <c r="K242">
        <v>59</v>
      </c>
      <c r="L242" t="s">
        <v>21</v>
      </c>
      <c r="M242" t="s">
        <v>25</v>
      </c>
    </row>
    <row r="243" spans="1:13" x14ac:dyDescent="0.35">
      <c r="A243" t="s">
        <v>573</v>
      </c>
      <c r="B243" s="11">
        <v>45305</v>
      </c>
      <c r="C243" s="12">
        <v>0.17083333333333334</v>
      </c>
      <c r="D243" t="s">
        <v>574</v>
      </c>
      <c r="E243" t="s">
        <v>30</v>
      </c>
      <c r="F243">
        <v>34</v>
      </c>
      <c r="G243" t="s">
        <v>296</v>
      </c>
      <c r="H243" t="s">
        <v>38</v>
      </c>
      <c r="I243" t="s">
        <v>8</v>
      </c>
      <c r="J243">
        <v>2</v>
      </c>
      <c r="K243">
        <v>20</v>
      </c>
      <c r="L243" t="s">
        <v>19</v>
      </c>
      <c r="M243" t="s">
        <v>26</v>
      </c>
    </row>
    <row r="244" spans="1:13" x14ac:dyDescent="0.35">
      <c r="A244" t="s">
        <v>575</v>
      </c>
      <c r="B244" s="11">
        <v>45299</v>
      </c>
      <c r="C244" s="12">
        <v>0.71597222222222223</v>
      </c>
      <c r="D244" t="s">
        <v>576</v>
      </c>
      <c r="E244" t="s">
        <v>30</v>
      </c>
      <c r="F244">
        <v>2</v>
      </c>
      <c r="G244" t="s">
        <v>200</v>
      </c>
      <c r="H244" t="s">
        <v>38</v>
      </c>
      <c r="I244" t="s">
        <v>8</v>
      </c>
      <c r="J244">
        <v>8</v>
      </c>
      <c r="K244">
        <v>54</v>
      </c>
      <c r="L244" t="s">
        <v>16</v>
      </c>
      <c r="M244" t="s">
        <v>25</v>
      </c>
    </row>
    <row r="245" spans="1:13" x14ac:dyDescent="0.35">
      <c r="A245" t="s">
        <v>577</v>
      </c>
      <c r="B245" s="11">
        <v>45302</v>
      </c>
      <c r="C245" s="12">
        <v>0.59027777777777779</v>
      </c>
      <c r="D245" t="s">
        <v>578</v>
      </c>
      <c r="E245" t="s">
        <v>31</v>
      </c>
      <c r="F245">
        <v>60</v>
      </c>
      <c r="G245" t="s">
        <v>200</v>
      </c>
      <c r="H245" t="s">
        <v>38</v>
      </c>
      <c r="I245" t="s">
        <v>8</v>
      </c>
      <c r="J245">
        <v>4</v>
      </c>
      <c r="K245">
        <v>27</v>
      </c>
      <c r="L245" t="s">
        <v>21</v>
      </c>
      <c r="M245" t="s">
        <v>26</v>
      </c>
    </row>
    <row r="246" spans="1:13" x14ac:dyDescent="0.35">
      <c r="A246" t="s">
        <v>579</v>
      </c>
      <c r="B246" s="11">
        <v>45305</v>
      </c>
      <c r="C246" s="12">
        <v>0.24722222222222223</v>
      </c>
      <c r="D246" t="s">
        <v>580</v>
      </c>
      <c r="E246" t="s">
        <v>31</v>
      </c>
      <c r="F246">
        <v>38</v>
      </c>
      <c r="G246" t="s">
        <v>200</v>
      </c>
      <c r="H246" t="s">
        <v>38</v>
      </c>
      <c r="I246" t="s">
        <v>8</v>
      </c>
      <c r="J246">
        <v>1</v>
      </c>
      <c r="K246">
        <v>37</v>
      </c>
      <c r="L246" t="s">
        <v>19</v>
      </c>
      <c r="M246" t="s">
        <v>25</v>
      </c>
    </row>
    <row r="247" spans="1:13" x14ac:dyDescent="0.35">
      <c r="A247" t="s">
        <v>581</v>
      </c>
      <c r="B247" s="11">
        <v>45307</v>
      </c>
      <c r="C247" s="12">
        <v>0.49166666666666664</v>
      </c>
      <c r="D247" t="s">
        <v>582</v>
      </c>
      <c r="E247" t="s">
        <v>30</v>
      </c>
      <c r="F247">
        <v>6</v>
      </c>
      <c r="G247" t="s">
        <v>200</v>
      </c>
      <c r="H247" t="s">
        <v>38</v>
      </c>
      <c r="I247" t="s">
        <v>8</v>
      </c>
      <c r="J247">
        <v>1</v>
      </c>
      <c r="K247">
        <v>58</v>
      </c>
      <c r="L247" t="s">
        <v>16</v>
      </c>
      <c r="M247" t="s">
        <v>25</v>
      </c>
    </row>
    <row r="248" spans="1:13" x14ac:dyDescent="0.35">
      <c r="A248" t="s">
        <v>583</v>
      </c>
      <c r="B248" s="11">
        <v>45308</v>
      </c>
      <c r="C248" s="12">
        <v>7.6388888888888895E-2</v>
      </c>
      <c r="D248" t="s">
        <v>584</v>
      </c>
      <c r="E248" t="s">
        <v>30</v>
      </c>
      <c r="F248">
        <v>23</v>
      </c>
      <c r="G248" t="s">
        <v>200</v>
      </c>
      <c r="H248" t="s">
        <v>38</v>
      </c>
      <c r="I248" t="s">
        <v>8</v>
      </c>
      <c r="J248">
        <v>1</v>
      </c>
      <c r="K248">
        <v>34</v>
      </c>
      <c r="L248" t="s">
        <v>18</v>
      </c>
      <c r="M248" t="s">
        <v>25</v>
      </c>
    </row>
    <row r="249" spans="1:13" x14ac:dyDescent="0.35">
      <c r="A249" t="s">
        <v>585</v>
      </c>
      <c r="B249" s="11">
        <v>45308</v>
      </c>
      <c r="C249" s="12">
        <v>0.83611111111111114</v>
      </c>
      <c r="D249" t="s">
        <v>586</v>
      </c>
      <c r="E249" t="s">
        <v>30</v>
      </c>
      <c r="F249">
        <v>49</v>
      </c>
      <c r="G249" t="s">
        <v>200</v>
      </c>
      <c r="H249" t="s">
        <v>38</v>
      </c>
      <c r="I249" t="s">
        <v>8</v>
      </c>
      <c r="J249">
        <v>6</v>
      </c>
      <c r="K249">
        <v>24</v>
      </c>
      <c r="L249" t="s">
        <v>20</v>
      </c>
      <c r="M249" t="s">
        <v>26</v>
      </c>
    </row>
    <row r="250" spans="1:13" x14ac:dyDescent="0.35">
      <c r="A250" t="s">
        <v>587</v>
      </c>
      <c r="B250" s="11">
        <v>45297</v>
      </c>
      <c r="C250" s="12">
        <v>0.47638888888888886</v>
      </c>
      <c r="D250" t="s">
        <v>588</v>
      </c>
      <c r="E250" t="s">
        <v>30</v>
      </c>
      <c r="F250">
        <v>22</v>
      </c>
      <c r="G250" t="s">
        <v>167</v>
      </c>
      <c r="H250" t="s">
        <v>38</v>
      </c>
      <c r="I250" t="s">
        <v>8</v>
      </c>
      <c r="J250">
        <v>3</v>
      </c>
      <c r="K250">
        <v>50</v>
      </c>
      <c r="L250" t="s">
        <v>18</v>
      </c>
      <c r="M250" t="s">
        <v>25</v>
      </c>
    </row>
    <row r="251" spans="1:13" x14ac:dyDescent="0.35">
      <c r="A251" t="s">
        <v>589</v>
      </c>
      <c r="B251" s="11">
        <v>45305</v>
      </c>
      <c r="C251" s="12">
        <v>0.39861111111111114</v>
      </c>
      <c r="D251" t="s">
        <v>590</v>
      </c>
      <c r="E251" t="s">
        <v>30</v>
      </c>
      <c r="F251">
        <v>44</v>
      </c>
      <c r="G251" t="s">
        <v>167</v>
      </c>
      <c r="H251" t="s">
        <v>38</v>
      </c>
      <c r="I251" t="s">
        <v>8</v>
      </c>
      <c r="J251">
        <v>10</v>
      </c>
      <c r="K251">
        <v>21</v>
      </c>
      <c r="L251" t="s">
        <v>20</v>
      </c>
      <c r="M251" t="s">
        <v>26</v>
      </c>
    </row>
    <row r="252" spans="1:13" x14ac:dyDescent="0.35">
      <c r="A252" t="s">
        <v>591</v>
      </c>
      <c r="B252" s="11">
        <v>45305</v>
      </c>
      <c r="C252" s="12">
        <v>0.11666666666666667</v>
      </c>
      <c r="D252" t="s">
        <v>592</v>
      </c>
      <c r="E252" t="s">
        <v>30</v>
      </c>
      <c r="F252">
        <v>75</v>
      </c>
      <c r="G252" t="s">
        <v>167</v>
      </c>
      <c r="H252" t="s">
        <v>38</v>
      </c>
      <c r="I252" t="s">
        <v>8</v>
      </c>
      <c r="J252">
        <v>3</v>
      </c>
      <c r="K252">
        <v>26</v>
      </c>
      <c r="L252" t="s">
        <v>23</v>
      </c>
      <c r="M252" t="s">
        <v>26</v>
      </c>
    </row>
    <row r="253" spans="1:13" x14ac:dyDescent="0.35">
      <c r="A253" t="s">
        <v>593</v>
      </c>
      <c r="B253" s="11">
        <v>45306</v>
      </c>
      <c r="C253" s="12">
        <v>0.90208333333333335</v>
      </c>
      <c r="D253" t="s">
        <v>594</v>
      </c>
      <c r="E253" t="s">
        <v>30</v>
      </c>
      <c r="F253">
        <v>18</v>
      </c>
      <c r="G253" t="s">
        <v>167</v>
      </c>
      <c r="H253" t="s">
        <v>38</v>
      </c>
      <c r="I253" t="s">
        <v>8</v>
      </c>
      <c r="J253">
        <v>5</v>
      </c>
      <c r="K253">
        <v>60</v>
      </c>
      <c r="L253" t="s">
        <v>17</v>
      </c>
      <c r="M253" t="s">
        <v>25</v>
      </c>
    </row>
    <row r="254" spans="1:13" x14ac:dyDescent="0.35">
      <c r="A254" t="s">
        <v>595</v>
      </c>
      <c r="B254" s="11">
        <v>45320</v>
      </c>
      <c r="C254" s="12">
        <v>0.47499999999999998</v>
      </c>
      <c r="D254" t="s">
        <v>596</v>
      </c>
      <c r="E254" t="s">
        <v>30</v>
      </c>
      <c r="F254">
        <v>6</v>
      </c>
      <c r="G254" t="s">
        <v>167</v>
      </c>
      <c r="H254" t="s">
        <v>38</v>
      </c>
      <c r="I254" t="s">
        <v>8</v>
      </c>
      <c r="J254">
        <v>9</v>
      </c>
      <c r="K254">
        <v>23</v>
      </c>
      <c r="L254" t="s">
        <v>16</v>
      </c>
      <c r="M254" t="s">
        <v>26</v>
      </c>
    </row>
    <row r="255" spans="1:13" x14ac:dyDescent="0.35">
      <c r="A255" t="s">
        <v>597</v>
      </c>
      <c r="B255" s="11">
        <v>45292</v>
      </c>
      <c r="C255" s="12">
        <v>0.88402777777777775</v>
      </c>
      <c r="D255" t="s">
        <v>598</v>
      </c>
      <c r="E255" t="s">
        <v>31</v>
      </c>
      <c r="F255">
        <v>51</v>
      </c>
      <c r="G255" t="s">
        <v>167</v>
      </c>
      <c r="H255" t="s">
        <v>38</v>
      </c>
      <c r="I255" t="s">
        <v>8</v>
      </c>
      <c r="J255">
        <v>10</v>
      </c>
      <c r="K255">
        <v>60</v>
      </c>
      <c r="L255" t="s">
        <v>21</v>
      </c>
      <c r="M255" t="s">
        <v>25</v>
      </c>
    </row>
    <row r="256" spans="1:13" x14ac:dyDescent="0.35">
      <c r="A256" t="s">
        <v>599</v>
      </c>
      <c r="B256" s="11">
        <v>45294</v>
      </c>
      <c r="C256" s="12">
        <v>0.22569444444444445</v>
      </c>
      <c r="D256" t="s">
        <v>600</v>
      </c>
      <c r="E256" t="s">
        <v>31</v>
      </c>
      <c r="F256">
        <v>11</v>
      </c>
      <c r="G256" t="s">
        <v>167</v>
      </c>
      <c r="H256" t="s">
        <v>38</v>
      </c>
      <c r="I256" t="s">
        <v>8</v>
      </c>
      <c r="J256">
        <v>5</v>
      </c>
      <c r="K256">
        <v>40</v>
      </c>
      <c r="L256" t="s">
        <v>17</v>
      </c>
      <c r="M256" t="s">
        <v>25</v>
      </c>
    </row>
    <row r="257" spans="1:13" x14ac:dyDescent="0.35">
      <c r="A257" t="s">
        <v>601</v>
      </c>
      <c r="B257" s="11">
        <v>45304</v>
      </c>
      <c r="C257" s="12">
        <v>0.1</v>
      </c>
      <c r="D257" t="s">
        <v>602</v>
      </c>
      <c r="E257" t="s">
        <v>31</v>
      </c>
      <c r="F257">
        <v>8</v>
      </c>
      <c r="G257" t="s">
        <v>167</v>
      </c>
      <c r="H257" t="s">
        <v>38</v>
      </c>
      <c r="I257" t="s">
        <v>8</v>
      </c>
      <c r="J257">
        <v>1</v>
      </c>
      <c r="K257">
        <v>57</v>
      </c>
      <c r="L257" t="s">
        <v>16</v>
      </c>
      <c r="M257" t="s">
        <v>25</v>
      </c>
    </row>
    <row r="258" spans="1:13" x14ac:dyDescent="0.35">
      <c r="A258" t="s">
        <v>603</v>
      </c>
      <c r="B258" s="11">
        <v>45313</v>
      </c>
      <c r="C258" s="12">
        <v>1.3888888888888889E-3</v>
      </c>
      <c r="D258" t="s">
        <v>604</v>
      </c>
      <c r="E258" t="s">
        <v>31</v>
      </c>
      <c r="F258">
        <v>66</v>
      </c>
      <c r="G258" t="s">
        <v>167</v>
      </c>
      <c r="H258" t="s">
        <v>38</v>
      </c>
      <c r="I258" t="s">
        <v>8</v>
      </c>
      <c r="J258">
        <v>6</v>
      </c>
      <c r="K258">
        <v>58</v>
      </c>
      <c r="L258" t="s">
        <v>22</v>
      </c>
      <c r="M258" t="s">
        <v>25</v>
      </c>
    </row>
    <row r="259" spans="1:13" x14ac:dyDescent="0.35">
      <c r="A259" t="s">
        <v>605</v>
      </c>
      <c r="B259" s="11">
        <v>45315</v>
      </c>
      <c r="C259" s="12">
        <v>0.47916666666666669</v>
      </c>
      <c r="D259" t="s">
        <v>606</v>
      </c>
      <c r="E259" t="s">
        <v>31</v>
      </c>
      <c r="F259">
        <v>52</v>
      </c>
      <c r="G259" t="s">
        <v>167</v>
      </c>
      <c r="H259" t="s">
        <v>38</v>
      </c>
      <c r="I259" t="s">
        <v>8</v>
      </c>
      <c r="J259">
        <v>3</v>
      </c>
      <c r="K259">
        <v>46</v>
      </c>
      <c r="L259" t="s">
        <v>21</v>
      </c>
      <c r="M259" t="s">
        <v>25</v>
      </c>
    </row>
    <row r="260" spans="1:13" x14ac:dyDescent="0.35">
      <c r="A260" t="s">
        <v>607</v>
      </c>
      <c r="B260" s="11">
        <v>45317</v>
      </c>
      <c r="C260" s="12">
        <v>0.68472222222222223</v>
      </c>
      <c r="D260" t="s">
        <v>608</v>
      </c>
      <c r="E260" t="s">
        <v>31</v>
      </c>
      <c r="F260">
        <v>49</v>
      </c>
      <c r="G260" t="s">
        <v>167</v>
      </c>
      <c r="H260" t="s">
        <v>38</v>
      </c>
      <c r="I260" t="s">
        <v>8</v>
      </c>
      <c r="J260">
        <v>10</v>
      </c>
      <c r="K260">
        <v>52</v>
      </c>
      <c r="L260" t="s">
        <v>20</v>
      </c>
      <c r="M260" t="s">
        <v>25</v>
      </c>
    </row>
    <row r="261" spans="1:13" x14ac:dyDescent="0.35">
      <c r="A261" t="s">
        <v>609</v>
      </c>
      <c r="B261" s="11">
        <v>45318</v>
      </c>
      <c r="C261" s="12">
        <v>3.888888888888889E-2</v>
      </c>
      <c r="D261" t="s">
        <v>610</v>
      </c>
      <c r="E261" t="s">
        <v>31</v>
      </c>
      <c r="F261">
        <v>71</v>
      </c>
      <c r="G261" t="s">
        <v>167</v>
      </c>
      <c r="H261" t="s">
        <v>38</v>
      </c>
      <c r="I261" t="s">
        <v>8</v>
      </c>
      <c r="J261">
        <v>3</v>
      </c>
      <c r="K261">
        <v>11</v>
      </c>
      <c r="L261" t="s">
        <v>23</v>
      </c>
      <c r="M261" t="s">
        <v>26</v>
      </c>
    </row>
    <row r="262" spans="1:13" x14ac:dyDescent="0.35">
      <c r="A262" t="s">
        <v>611</v>
      </c>
      <c r="B262" s="11">
        <v>45293</v>
      </c>
      <c r="C262" s="12">
        <v>0.14027777777777778</v>
      </c>
      <c r="D262" t="s">
        <v>612</v>
      </c>
      <c r="E262" t="s">
        <v>31</v>
      </c>
      <c r="F262">
        <v>17</v>
      </c>
      <c r="G262" t="s">
        <v>90</v>
      </c>
      <c r="H262" t="s">
        <v>38</v>
      </c>
      <c r="I262" t="s">
        <v>8</v>
      </c>
      <c r="J262">
        <v>0</v>
      </c>
      <c r="K262">
        <v>51</v>
      </c>
      <c r="L262" t="s">
        <v>17</v>
      </c>
      <c r="M262" t="s">
        <v>25</v>
      </c>
    </row>
    <row r="263" spans="1:13" x14ac:dyDescent="0.35">
      <c r="A263" t="s">
        <v>613</v>
      </c>
      <c r="B263" s="11">
        <v>45306</v>
      </c>
      <c r="C263" s="12">
        <v>0.95625000000000004</v>
      </c>
      <c r="D263" t="s">
        <v>614</v>
      </c>
      <c r="E263" t="s">
        <v>31</v>
      </c>
      <c r="F263">
        <v>77</v>
      </c>
      <c r="G263" t="s">
        <v>90</v>
      </c>
      <c r="H263" t="s">
        <v>38</v>
      </c>
      <c r="I263" t="s">
        <v>8</v>
      </c>
      <c r="J263">
        <v>2</v>
      </c>
      <c r="K263">
        <v>59</v>
      </c>
      <c r="L263" t="s">
        <v>23</v>
      </c>
      <c r="M263" t="s">
        <v>25</v>
      </c>
    </row>
    <row r="264" spans="1:13" x14ac:dyDescent="0.35">
      <c r="A264" t="s">
        <v>615</v>
      </c>
      <c r="B264" s="11">
        <v>45319</v>
      </c>
      <c r="C264" s="12">
        <v>0.37083333333333335</v>
      </c>
      <c r="D264" t="s">
        <v>616</v>
      </c>
      <c r="E264" t="s">
        <v>31</v>
      </c>
      <c r="F264">
        <v>46</v>
      </c>
      <c r="G264" t="s">
        <v>90</v>
      </c>
      <c r="H264" t="s">
        <v>38</v>
      </c>
      <c r="I264" t="s">
        <v>8</v>
      </c>
      <c r="J264">
        <v>8</v>
      </c>
      <c r="K264">
        <v>26</v>
      </c>
      <c r="L264" t="s">
        <v>20</v>
      </c>
      <c r="M264" t="s">
        <v>26</v>
      </c>
    </row>
    <row r="265" spans="1:13" x14ac:dyDescent="0.35">
      <c r="A265" t="s">
        <v>617</v>
      </c>
      <c r="B265" s="11">
        <v>45319</v>
      </c>
      <c r="C265" s="12">
        <v>0.82777777777777772</v>
      </c>
      <c r="D265" t="s">
        <v>618</v>
      </c>
      <c r="E265" t="s">
        <v>31</v>
      </c>
      <c r="F265">
        <v>79</v>
      </c>
      <c r="G265" t="s">
        <v>90</v>
      </c>
      <c r="H265" t="s">
        <v>38</v>
      </c>
      <c r="I265" t="s">
        <v>8</v>
      </c>
      <c r="J265">
        <v>4</v>
      </c>
      <c r="K265">
        <v>10</v>
      </c>
      <c r="L265" t="s">
        <v>23</v>
      </c>
      <c r="M265" t="s">
        <v>26</v>
      </c>
    </row>
    <row r="266" spans="1:13" x14ac:dyDescent="0.35">
      <c r="A266" t="s">
        <v>619</v>
      </c>
      <c r="B266" s="11">
        <v>45321</v>
      </c>
      <c r="C266" s="12">
        <v>0.70347222222222228</v>
      </c>
      <c r="D266" t="s">
        <v>620</v>
      </c>
      <c r="E266" t="s">
        <v>31</v>
      </c>
      <c r="F266">
        <v>7</v>
      </c>
      <c r="G266" t="s">
        <v>90</v>
      </c>
      <c r="H266" t="s">
        <v>38</v>
      </c>
      <c r="I266" t="s">
        <v>8</v>
      </c>
      <c r="J266">
        <v>4</v>
      </c>
      <c r="K266">
        <v>46</v>
      </c>
      <c r="L266" t="s">
        <v>16</v>
      </c>
      <c r="M266" t="s">
        <v>25</v>
      </c>
    </row>
    <row r="267" spans="1:13" x14ac:dyDescent="0.35">
      <c r="A267" t="s">
        <v>621</v>
      </c>
      <c r="B267" s="11">
        <v>45292</v>
      </c>
      <c r="C267" s="12">
        <v>0.38055555555555554</v>
      </c>
      <c r="D267" t="s">
        <v>622</v>
      </c>
      <c r="E267" t="s">
        <v>30</v>
      </c>
      <c r="F267">
        <v>17</v>
      </c>
      <c r="G267" t="s">
        <v>90</v>
      </c>
      <c r="H267" t="s">
        <v>38</v>
      </c>
      <c r="I267" t="s">
        <v>8</v>
      </c>
      <c r="J267">
        <v>7</v>
      </c>
      <c r="K267">
        <v>56</v>
      </c>
      <c r="L267" t="s">
        <v>17</v>
      </c>
      <c r="M267" t="s">
        <v>25</v>
      </c>
    </row>
    <row r="268" spans="1:13" x14ac:dyDescent="0.35">
      <c r="A268" t="s">
        <v>623</v>
      </c>
      <c r="B268" s="11">
        <v>45293</v>
      </c>
      <c r="C268" s="12">
        <v>0.29652777777777778</v>
      </c>
      <c r="D268" t="s">
        <v>624</v>
      </c>
      <c r="E268" t="s">
        <v>30</v>
      </c>
      <c r="F268">
        <v>38</v>
      </c>
      <c r="G268" t="s">
        <v>90</v>
      </c>
      <c r="H268" t="s">
        <v>38</v>
      </c>
      <c r="I268" t="s">
        <v>8</v>
      </c>
      <c r="J268">
        <v>6</v>
      </c>
      <c r="K268">
        <v>57</v>
      </c>
      <c r="L268" t="s">
        <v>19</v>
      </c>
      <c r="M268" t="s">
        <v>25</v>
      </c>
    </row>
    <row r="269" spans="1:13" x14ac:dyDescent="0.35">
      <c r="A269" t="s">
        <v>625</v>
      </c>
      <c r="B269" s="11">
        <v>45305</v>
      </c>
      <c r="C269" s="12">
        <v>0.25486111111111109</v>
      </c>
      <c r="D269" t="s">
        <v>626</v>
      </c>
      <c r="E269" t="s">
        <v>30</v>
      </c>
      <c r="F269">
        <v>15</v>
      </c>
      <c r="G269" t="s">
        <v>90</v>
      </c>
      <c r="H269" t="s">
        <v>38</v>
      </c>
      <c r="I269" t="s">
        <v>8</v>
      </c>
      <c r="J269">
        <v>7</v>
      </c>
      <c r="K269">
        <v>12</v>
      </c>
      <c r="L269" t="s">
        <v>17</v>
      </c>
      <c r="M269" t="s">
        <v>26</v>
      </c>
    </row>
    <row r="270" spans="1:13" x14ac:dyDescent="0.35">
      <c r="A270" t="s">
        <v>627</v>
      </c>
      <c r="B270" s="11">
        <v>45306</v>
      </c>
      <c r="C270" s="12">
        <v>0.47222222222222221</v>
      </c>
      <c r="D270" t="s">
        <v>628</v>
      </c>
      <c r="E270" t="s">
        <v>30</v>
      </c>
      <c r="F270">
        <v>50</v>
      </c>
      <c r="G270" t="s">
        <v>90</v>
      </c>
      <c r="H270" t="s">
        <v>38</v>
      </c>
      <c r="I270" t="s">
        <v>8</v>
      </c>
      <c r="J270">
        <v>0</v>
      </c>
      <c r="K270">
        <v>31</v>
      </c>
      <c r="L270" t="s">
        <v>20</v>
      </c>
      <c r="M270" t="s">
        <v>25</v>
      </c>
    </row>
    <row r="271" spans="1:13" x14ac:dyDescent="0.35">
      <c r="A271" t="s">
        <v>629</v>
      </c>
      <c r="B271" s="11">
        <v>45306</v>
      </c>
      <c r="C271" s="12">
        <v>0.62152777777777779</v>
      </c>
      <c r="D271" t="s">
        <v>630</v>
      </c>
      <c r="E271" t="s">
        <v>30</v>
      </c>
      <c r="F271">
        <v>41</v>
      </c>
      <c r="G271" t="s">
        <v>90</v>
      </c>
      <c r="H271" t="s">
        <v>38</v>
      </c>
      <c r="I271" t="s">
        <v>8</v>
      </c>
      <c r="J271">
        <v>9</v>
      </c>
      <c r="K271">
        <v>27</v>
      </c>
      <c r="L271" t="s">
        <v>20</v>
      </c>
      <c r="M271" t="s">
        <v>26</v>
      </c>
    </row>
    <row r="272" spans="1:13" x14ac:dyDescent="0.35">
      <c r="A272" t="s">
        <v>631</v>
      </c>
      <c r="B272" s="11">
        <v>45318</v>
      </c>
      <c r="C272" s="12">
        <v>0.15625</v>
      </c>
      <c r="D272" t="s">
        <v>632</v>
      </c>
      <c r="E272" t="s">
        <v>30</v>
      </c>
      <c r="F272">
        <v>29</v>
      </c>
      <c r="G272" t="s">
        <v>90</v>
      </c>
      <c r="H272" t="s">
        <v>38</v>
      </c>
      <c r="I272" t="s">
        <v>8</v>
      </c>
      <c r="J272">
        <v>10</v>
      </c>
      <c r="K272">
        <v>58</v>
      </c>
      <c r="L272" t="s">
        <v>18</v>
      </c>
      <c r="M272"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75B21-A26B-415C-9487-1A116A7AB191}">
  <dimension ref="A4:J106"/>
  <sheetViews>
    <sheetView showGridLines="0" topLeftCell="A38" zoomScale="86" workbookViewId="0">
      <selection activeCell="G51" sqref="G51"/>
    </sheetView>
  </sheetViews>
  <sheetFormatPr defaultRowHeight="14.5" x14ac:dyDescent="0.35"/>
  <cols>
    <col min="1" max="1" width="18" customWidth="1"/>
    <col min="2" max="2" width="7.7265625" customWidth="1"/>
    <col min="3" max="3" width="8" customWidth="1"/>
    <col min="4" max="4" width="23.90625" bestFit="1" customWidth="1"/>
    <col min="6" max="6" width="13" bestFit="1" customWidth="1"/>
    <col min="7" max="7" width="25.26953125" bestFit="1" customWidth="1"/>
    <col min="8" max="8" width="21.7265625" bestFit="1" customWidth="1"/>
    <col min="9" max="9" width="13" bestFit="1" customWidth="1"/>
    <col min="10" max="10" width="32.453125" bestFit="1" customWidth="1"/>
    <col min="11" max="11" width="28.81640625" bestFit="1" customWidth="1"/>
  </cols>
  <sheetData>
    <row r="4" spans="1:10" x14ac:dyDescent="0.35">
      <c r="A4" t="s">
        <v>3</v>
      </c>
    </row>
    <row r="5" spans="1:10" x14ac:dyDescent="0.35">
      <c r="A5" s="10" t="s">
        <v>0</v>
      </c>
      <c r="C5" t="s">
        <v>6</v>
      </c>
      <c r="F5" t="s">
        <v>7</v>
      </c>
    </row>
    <row r="6" spans="1:10" x14ac:dyDescent="0.35">
      <c r="A6">
        <v>513</v>
      </c>
      <c r="C6" s="9" t="s">
        <v>4</v>
      </c>
      <c r="D6" t="s">
        <v>0</v>
      </c>
      <c r="F6" s="1" t="s">
        <v>4</v>
      </c>
      <c r="G6" t="s">
        <v>1</v>
      </c>
      <c r="I6" s="1" t="s">
        <v>4</v>
      </c>
      <c r="J6" t="s">
        <v>2</v>
      </c>
    </row>
    <row r="7" spans="1:10" x14ac:dyDescent="0.35">
      <c r="C7" s="2" t="s">
        <v>44</v>
      </c>
      <c r="D7">
        <v>19</v>
      </c>
      <c r="F7" s="2" t="s">
        <v>44</v>
      </c>
      <c r="G7" s="3">
        <v>37.789473684210527</v>
      </c>
      <c r="I7" s="2" t="s">
        <v>44</v>
      </c>
      <c r="J7" s="3">
        <v>6.666666666666667</v>
      </c>
    </row>
    <row r="8" spans="1:10" x14ac:dyDescent="0.35">
      <c r="A8" t="s">
        <v>1</v>
      </c>
      <c r="C8" s="2" t="s">
        <v>45</v>
      </c>
      <c r="D8">
        <v>14</v>
      </c>
      <c r="F8" s="2" t="s">
        <v>45</v>
      </c>
      <c r="G8" s="3">
        <v>38.214285714285715</v>
      </c>
      <c r="I8" s="2" t="s">
        <v>45</v>
      </c>
      <c r="J8" s="3">
        <v>3.5</v>
      </c>
    </row>
    <row r="9" spans="1:10" x14ac:dyDescent="0.35">
      <c r="A9" s="3">
        <v>36.323586744639378</v>
      </c>
      <c r="C9" s="2" t="s">
        <v>46</v>
      </c>
      <c r="D9">
        <v>13</v>
      </c>
      <c r="F9" s="2" t="s">
        <v>46</v>
      </c>
      <c r="G9" s="3">
        <v>40.92307692307692</v>
      </c>
      <c r="I9" s="2" t="s">
        <v>46</v>
      </c>
      <c r="J9" s="3">
        <v>4.5</v>
      </c>
    </row>
    <row r="10" spans="1:10" x14ac:dyDescent="0.35">
      <c r="C10" s="2" t="s">
        <v>47</v>
      </c>
      <c r="D10">
        <v>22</v>
      </c>
      <c r="F10" s="2" t="s">
        <v>47</v>
      </c>
      <c r="G10" s="3">
        <v>34.5</v>
      </c>
      <c r="I10" s="2" t="s">
        <v>47</v>
      </c>
      <c r="J10" s="3">
        <v>4.8</v>
      </c>
    </row>
    <row r="11" spans="1:10" x14ac:dyDescent="0.35">
      <c r="A11" t="s">
        <v>2</v>
      </c>
      <c r="C11" s="2" t="s">
        <v>48</v>
      </c>
      <c r="D11">
        <v>19</v>
      </c>
      <c r="F11" s="2" t="s">
        <v>48</v>
      </c>
      <c r="G11" s="3">
        <v>30.684210526315791</v>
      </c>
      <c r="I11" s="2" t="s">
        <v>48</v>
      </c>
      <c r="J11" s="3">
        <v>7.75</v>
      </c>
    </row>
    <row r="12" spans="1:10" x14ac:dyDescent="0.35">
      <c r="A12" s="3">
        <v>4.9591836734693882</v>
      </c>
      <c r="C12" s="2" t="s">
        <v>49</v>
      </c>
      <c r="D12">
        <v>15</v>
      </c>
      <c r="F12" s="2" t="s">
        <v>49</v>
      </c>
      <c r="G12" s="3">
        <v>37.666666666666664</v>
      </c>
      <c r="I12" s="2" t="s">
        <v>49</v>
      </c>
      <c r="J12" s="3">
        <v>6.2</v>
      </c>
    </row>
    <row r="13" spans="1:10" x14ac:dyDescent="0.35">
      <c r="C13" s="2" t="s">
        <v>50</v>
      </c>
      <c r="D13">
        <v>12</v>
      </c>
      <c r="F13" s="2" t="s">
        <v>50</v>
      </c>
      <c r="G13" s="3">
        <v>36.083333333333336</v>
      </c>
      <c r="I13" s="2" t="s">
        <v>50</v>
      </c>
      <c r="J13" s="3">
        <v>3.75</v>
      </c>
    </row>
    <row r="14" spans="1:10" x14ac:dyDescent="0.35">
      <c r="C14" s="2" t="s">
        <v>51</v>
      </c>
      <c r="D14">
        <v>21</v>
      </c>
      <c r="F14" s="2" t="s">
        <v>51</v>
      </c>
      <c r="G14" s="3">
        <v>43.523809523809526</v>
      </c>
      <c r="I14" s="2" t="s">
        <v>51</v>
      </c>
      <c r="J14" s="3">
        <v>6.5</v>
      </c>
    </row>
    <row r="15" spans="1:10" x14ac:dyDescent="0.35">
      <c r="C15" s="2" t="s">
        <v>52</v>
      </c>
      <c r="D15">
        <v>12</v>
      </c>
      <c r="F15" s="2" t="s">
        <v>52</v>
      </c>
      <c r="G15" s="3">
        <v>29.5</v>
      </c>
      <c r="I15" s="2" t="s">
        <v>52</v>
      </c>
      <c r="J15" s="3">
        <v>3</v>
      </c>
    </row>
    <row r="16" spans="1:10" x14ac:dyDescent="0.35">
      <c r="C16" s="2" t="s">
        <v>53</v>
      </c>
      <c r="D16">
        <v>13</v>
      </c>
      <c r="F16" s="2" t="s">
        <v>53</v>
      </c>
      <c r="G16" s="3">
        <v>38.07692307692308</v>
      </c>
      <c r="I16" s="2" t="s">
        <v>53</v>
      </c>
      <c r="J16" s="3">
        <v>4.5</v>
      </c>
    </row>
    <row r="17" spans="3:10" x14ac:dyDescent="0.35">
      <c r="C17" s="2" t="s">
        <v>54</v>
      </c>
      <c r="D17">
        <v>13</v>
      </c>
      <c r="F17" s="2" t="s">
        <v>54</v>
      </c>
      <c r="G17" s="3">
        <v>35.846153846153847</v>
      </c>
      <c r="I17" s="2" t="s">
        <v>54</v>
      </c>
      <c r="J17" s="3">
        <v>6</v>
      </c>
    </row>
    <row r="18" spans="3:10" x14ac:dyDescent="0.35">
      <c r="C18" s="2" t="s">
        <v>55</v>
      </c>
      <c r="D18">
        <v>16</v>
      </c>
      <c r="F18" s="2" t="s">
        <v>55</v>
      </c>
      <c r="G18" s="3">
        <v>32.625</v>
      </c>
      <c r="I18" s="2" t="s">
        <v>55</v>
      </c>
      <c r="J18" s="3">
        <v>5.2</v>
      </c>
    </row>
    <row r="19" spans="3:10" x14ac:dyDescent="0.35">
      <c r="C19" s="2" t="s">
        <v>56</v>
      </c>
      <c r="D19">
        <v>20</v>
      </c>
      <c r="F19" s="2" t="s">
        <v>56</v>
      </c>
      <c r="G19" s="3">
        <v>39.200000000000003</v>
      </c>
      <c r="I19" s="2" t="s">
        <v>56</v>
      </c>
      <c r="J19" s="3">
        <v>4.4000000000000004</v>
      </c>
    </row>
    <row r="20" spans="3:10" x14ac:dyDescent="0.35">
      <c r="C20" s="2" t="s">
        <v>57</v>
      </c>
      <c r="D20">
        <v>25</v>
      </c>
      <c r="F20" s="2" t="s">
        <v>57</v>
      </c>
      <c r="G20" s="3">
        <v>35.28</v>
      </c>
      <c r="I20" s="2" t="s">
        <v>57</v>
      </c>
      <c r="J20" s="3">
        <v>3.4545454545454546</v>
      </c>
    </row>
    <row r="21" spans="3:10" x14ac:dyDescent="0.35">
      <c r="C21" s="2" t="s">
        <v>58</v>
      </c>
      <c r="D21">
        <v>20</v>
      </c>
      <c r="F21" s="2" t="s">
        <v>58</v>
      </c>
      <c r="G21" s="3">
        <v>32.549999999999997</v>
      </c>
      <c r="I21" s="2" t="s">
        <v>58</v>
      </c>
      <c r="J21" s="3">
        <v>4.4000000000000004</v>
      </c>
    </row>
    <row r="22" spans="3:10" x14ac:dyDescent="0.35">
      <c r="C22" s="2" t="s">
        <v>59</v>
      </c>
      <c r="D22">
        <v>14</v>
      </c>
      <c r="F22" s="2" t="s">
        <v>59</v>
      </c>
      <c r="G22" s="3">
        <v>35.642857142857146</v>
      </c>
      <c r="I22" s="2" t="s">
        <v>59</v>
      </c>
      <c r="J22" s="3">
        <v>5.833333333333333</v>
      </c>
    </row>
    <row r="23" spans="3:10" x14ac:dyDescent="0.35">
      <c r="C23" s="2" t="s">
        <v>60</v>
      </c>
      <c r="D23">
        <v>17</v>
      </c>
      <c r="F23" s="2" t="s">
        <v>60</v>
      </c>
      <c r="G23" s="3">
        <v>38.764705882352942</v>
      </c>
      <c r="I23" s="2" t="s">
        <v>60</v>
      </c>
      <c r="J23" s="3">
        <v>4.4444444444444446</v>
      </c>
    </row>
    <row r="24" spans="3:10" x14ac:dyDescent="0.35">
      <c r="C24" s="2" t="s">
        <v>61</v>
      </c>
      <c r="D24">
        <v>20</v>
      </c>
      <c r="F24" s="2" t="s">
        <v>61</v>
      </c>
      <c r="G24" s="3">
        <v>39.9</v>
      </c>
      <c r="I24" s="2" t="s">
        <v>61</v>
      </c>
      <c r="J24" s="3">
        <v>5.333333333333333</v>
      </c>
    </row>
    <row r="25" spans="3:10" x14ac:dyDescent="0.35">
      <c r="C25" s="2" t="s">
        <v>62</v>
      </c>
      <c r="D25">
        <v>10</v>
      </c>
      <c r="F25" s="2" t="s">
        <v>62</v>
      </c>
      <c r="G25" s="3">
        <v>41.6</v>
      </c>
      <c r="I25" s="2" t="s">
        <v>62</v>
      </c>
      <c r="J25" s="3">
        <v>5.333333333333333</v>
      </c>
    </row>
    <row r="26" spans="3:10" x14ac:dyDescent="0.35">
      <c r="C26" s="2" t="s">
        <v>63</v>
      </c>
      <c r="D26">
        <v>17</v>
      </c>
      <c r="F26" s="2" t="s">
        <v>63</v>
      </c>
      <c r="G26" s="3">
        <v>39.470588235294116</v>
      </c>
      <c r="I26" s="2" t="s">
        <v>63</v>
      </c>
      <c r="J26" s="3">
        <v>5.5714285714285712</v>
      </c>
    </row>
    <row r="27" spans="3:10" x14ac:dyDescent="0.35">
      <c r="C27" s="2" t="s">
        <v>64</v>
      </c>
      <c r="D27">
        <v>15</v>
      </c>
      <c r="F27" s="2" t="s">
        <v>64</v>
      </c>
      <c r="G27" s="3">
        <v>27.733333333333334</v>
      </c>
      <c r="I27" s="2" t="s">
        <v>64</v>
      </c>
      <c r="J27" s="3">
        <v>5</v>
      </c>
    </row>
    <row r="28" spans="3:10" x14ac:dyDescent="0.35">
      <c r="C28" s="2" t="s">
        <v>65</v>
      </c>
      <c r="D28">
        <v>16</v>
      </c>
      <c r="F28" s="2" t="s">
        <v>65</v>
      </c>
      <c r="G28" s="3">
        <v>36.875</v>
      </c>
      <c r="I28" s="2" t="s">
        <v>65</v>
      </c>
      <c r="J28" s="3">
        <v>6.4</v>
      </c>
    </row>
    <row r="29" spans="3:10" x14ac:dyDescent="0.35">
      <c r="C29" s="2" t="s">
        <v>66</v>
      </c>
      <c r="D29">
        <v>18</v>
      </c>
      <c r="F29" s="2" t="s">
        <v>66</v>
      </c>
      <c r="G29" s="3">
        <v>40.333333333333336</v>
      </c>
      <c r="I29" s="2" t="s">
        <v>66</v>
      </c>
      <c r="J29" s="3">
        <v>5.333333333333333</v>
      </c>
    </row>
    <row r="30" spans="3:10" x14ac:dyDescent="0.35">
      <c r="C30" s="2" t="s">
        <v>67</v>
      </c>
      <c r="D30">
        <v>16</v>
      </c>
      <c r="F30" s="2" t="s">
        <v>67</v>
      </c>
      <c r="G30" s="3">
        <v>36.5</v>
      </c>
      <c r="I30" s="2" t="s">
        <v>67</v>
      </c>
      <c r="J30" s="3">
        <v>3.75</v>
      </c>
    </row>
    <row r="31" spans="3:10" x14ac:dyDescent="0.35">
      <c r="C31" s="2" t="s">
        <v>68</v>
      </c>
      <c r="D31">
        <v>15</v>
      </c>
      <c r="F31" s="2" t="s">
        <v>68</v>
      </c>
      <c r="G31" s="3">
        <v>32.866666666666667</v>
      </c>
      <c r="I31" s="2" t="s">
        <v>68</v>
      </c>
      <c r="J31" s="3">
        <v>6.333333333333333</v>
      </c>
    </row>
    <row r="32" spans="3:10" x14ac:dyDescent="0.35">
      <c r="C32" s="2" t="s">
        <v>69</v>
      </c>
      <c r="D32">
        <v>14</v>
      </c>
      <c r="F32" s="2" t="s">
        <v>69</v>
      </c>
      <c r="G32" s="3">
        <v>36.642857142857146</v>
      </c>
      <c r="I32" s="2" t="s">
        <v>69</v>
      </c>
      <c r="J32" s="3">
        <v>10</v>
      </c>
    </row>
    <row r="33" spans="1:10" x14ac:dyDescent="0.35">
      <c r="C33" s="2" t="s">
        <v>70</v>
      </c>
      <c r="D33">
        <v>16</v>
      </c>
      <c r="F33" s="2" t="s">
        <v>70</v>
      </c>
      <c r="G33" s="3">
        <v>36.5625</v>
      </c>
      <c r="I33" s="2" t="s">
        <v>70</v>
      </c>
      <c r="J33" s="3">
        <v>5</v>
      </c>
    </row>
    <row r="34" spans="1:10" x14ac:dyDescent="0.35">
      <c r="C34" s="2" t="s">
        <v>71</v>
      </c>
      <c r="D34">
        <v>20</v>
      </c>
      <c r="F34" s="2" t="s">
        <v>71</v>
      </c>
      <c r="G34" s="3">
        <v>32.15</v>
      </c>
      <c r="I34" s="2" t="s">
        <v>71</v>
      </c>
      <c r="J34" s="3">
        <v>5.333333333333333</v>
      </c>
    </row>
    <row r="35" spans="1:10" x14ac:dyDescent="0.35">
      <c r="C35" s="2" t="s">
        <v>72</v>
      </c>
      <c r="D35">
        <v>19</v>
      </c>
      <c r="F35" s="2" t="s">
        <v>72</v>
      </c>
      <c r="G35" s="3">
        <v>38.368421052631582</v>
      </c>
      <c r="I35" s="2" t="s">
        <v>72</v>
      </c>
      <c r="J35" s="3">
        <v>4.8</v>
      </c>
    </row>
    <row r="36" spans="1:10" x14ac:dyDescent="0.35">
      <c r="C36" s="2" t="s">
        <v>73</v>
      </c>
      <c r="D36">
        <v>14</v>
      </c>
      <c r="F36" s="2" t="s">
        <v>73</v>
      </c>
      <c r="G36" s="3">
        <v>33.071428571428569</v>
      </c>
      <c r="I36" s="2" t="s">
        <v>73</v>
      </c>
      <c r="J36" s="3">
        <v>5</v>
      </c>
    </row>
    <row r="37" spans="1:10" x14ac:dyDescent="0.35">
      <c r="C37" s="2" t="s">
        <v>74</v>
      </c>
      <c r="D37">
        <v>18</v>
      </c>
      <c r="F37" s="2" t="s">
        <v>74</v>
      </c>
      <c r="G37" s="3">
        <v>36.444444444444443</v>
      </c>
      <c r="I37" s="2" t="s">
        <v>74</v>
      </c>
      <c r="J37" s="3">
        <v>1.4</v>
      </c>
    </row>
    <row r="38" spans="1:10" x14ac:dyDescent="0.35">
      <c r="C38" s="2" t="s">
        <v>5</v>
      </c>
      <c r="D38">
        <v>513</v>
      </c>
      <c r="F38" s="2" t="s">
        <v>5</v>
      </c>
      <c r="G38" s="3">
        <v>36.323586744639378</v>
      </c>
      <c r="I38" s="2" t="s">
        <v>5</v>
      </c>
      <c r="J38" s="3">
        <v>4.9591836734693882</v>
      </c>
    </row>
    <row r="42" spans="1:10" x14ac:dyDescent="0.35">
      <c r="A42" s="1" t="s">
        <v>4</v>
      </c>
      <c r="B42" t="s">
        <v>10</v>
      </c>
      <c r="C42" t="s">
        <v>11</v>
      </c>
    </row>
    <row r="43" spans="1:10" x14ac:dyDescent="0.35">
      <c r="A43" s="2" t="s">
        <v>8</v>
      </c>
      <c r="B43">
        <v>269</v>
      </c>
      <c r="C43" s="5">
        <v>0.52436647173489281</v>
      </c>
    </row>
    <row r="44" spans="1:10" x14ac:dyDescent="0.35">
      <c r="A44" s="2" t="s">
        <v>9</v>
      </c>
      <c r="B44">
        <v>244</v>
      </c>
      <c r="C44" s="5">
        <v>0.47563352826510719</v>
      </c>
    </row>
    <row r="45" spans="1:10" x14ac:dyDescent="0.35">
      <c r="A45" s="2" t="s">
        <v>5</v>
      </c>
      <c r="B45">
        <v>513</v>
      </c>
      <c r="C45" s="5">
        <v>1</v>
      </c>
    </row>
    <row r="49" spans="1:4" x14ac:dyDescent="0.35">
      <c r="A49" s="7" t="s">
        <v>12</v>
      </c>
      <c r="B49" s="7" t="s">
        <v>14</v>
      </c>
      <c r="C49" s="7" t="s">
        <v>13</v>
      </c>
      <c r="D49" s="7"/>
    </row>
    <row r="50" spans="1:4" x14ac:dyDescent="0.35">
      <c r="A50" t="str">
        <f>A44</f>
        <v>Not Admitted</v>
      </c>
      <c r="B50">
        <f>GETPIVOTDATA("[__Xl2].[Measures].[Count of Patient Admission Flag]",$A$42,"[Hospital Emergency Room Data].[Patient Admission Flag]","[Hospital Emergency Room Data].[Patient Admission Flag].&amp;[Not Admitted]")</f>
        <v>244</v>
      </c>
      <c r="C50" s="6">
        <f>GETPIVOTDATA("[Measures].[Count of Patient Admission Flag]",$A$42,"[Hospital Emergency Room Data].[Patient Admission Flag]","[Hospital Emergency Room Data].[Patient Admission Flag].&amp;[Not Admitted]")</f>
        <v>0.47563352826510719</v>
      </c>
    </row>
    <row r="51" spans="1:4" x14ac:dyDescent="0.35">
      <c r="A51" t="str">
        <f>A43</f>
        <v>Admitted</v>
      </c>
      <c r="B51">
        <f>GETPIVOTDATA("[__Xl2].[Measures].[Count of Patient Admission Flag]",$A$42,"[Hospital Emergency Room Data].[Patient Admission Flag]","[Hospital Emergency Room Data].[Patient Admission Flag].&amp;[Admitted]")</f>
        <v>269</v>
      </c>
      <c r="C51" s="6">
        <f>GETPIVOTDATA("[Measures].[Count of Patient Admission Flag]",$A$42,"[Hospital Emergency Room Data].[Patient Admission Flag]","[Hospital Emergency Room Data].[Patient Admission Flag].&amp;[Admitted]")</f>
        <v>0.52436647173489281</v>
      </c>
    </row>
    <row r="56" spans="1:4" x14ac:dyDescent="0.35">
      <c r="A56" t="s">
        <v>24</v>
      </c>
    </row>
    <row r="57" spans="1:4" x14ac:dyDescent="0.35">
      <c r="A57" s="1" t="s">
        <v>4</v>
      </c>
      <c r="B57" t="s">
        <v>15</v>
      </c>
    </row>
    <row r="58" spans="1:4" x14ac:dyDescent="0.35">
      <c r="A58" s="2" t="s">
        <v>16</v>
      </c>
      <c r="B58">
        <v>76</v>
      </c>
    </row>
    <row r="59" spans="1:4" x14ac:dyDescent="0.35">
      <c r="A59" s="2" t="s">
        <v>17</v>
      </c>
      <c r="B59">
        <v>69</v>
      </c>
    </row>
    <row r="60" spans="1:4" x14ac:dyDescent="0.35">
      <c r="A60" s="2" t="s">
        <v>18</v>
      </c>
      <c r="B60">
        <v>64</v>
      </c>
    </row>
    <row r="61" spans="1:4" x14ac:dyDescent="0.35">
      <c r="A61" s="2" t="s">
        <v>19</v>
      </c>
      <c r="B61">
        <v>59</v>
      </c>
    </row>
    <row r="62" spans="1:4" x14ac:dyDescent="0.35">
      <c r="A62" s="2" t="s">
        <v>20</v>
      </c>
      <c r="B62">
        <v>58</v>
      </c>
    </row>
    <row r="63" spans="1:4" x14ac:dyDescent="0.35">
      <c r="A63" s="2" t="s">
        <v>21</v>
      </c>
      <c r="B63">
        <v>66</v>
      </c>
    </row>
    <row r="64" spans="1:4" x14ac:dyDescent="0.35">
      <c r="A64" s="2" t="s">
        <v>22</v>
      </c>
      <c r="B64">
        <v>67</v>
      </c>
    </row>
    <row r="65" spans="1:2" x14ac:dyDescent="0.35">
      <c r="A65" s="2" t="s">
        <v>23</v>
      </c>
      <c r="B65">
        <v>54</v>
      </c>
    </row>
    <row r="66" spans="1:2" x14ac:dyDescent="0.35">
      <c r="A66" s="2" t="s">
        <v>5</v>
      </c>
      <c r="B66">
        <v>513</v>
      </c>
    </row>
    <row r="70" spans="1:2" x14ac:dyDescent="0.35">
      <c r="A70" t="s">
        <v>28</v>
      </c>
    </row>
    <row r="71" spans="1:2" x14ac:dyDescent="0.35">
      <c r="A71" s="1" t="s">
        <v>4</v>
      </c>
      <c r="B71" t="s">
        <v>27</v>
      </c>
    </row>
    <row r="72" spans="1:2" x14ac:dyDescent="0.35">
      <c r="A72" s="2" t="s">
        <v>25</v>
      </c>
      <c r="B72">
        <v>316</v>
      </c>
    </row>
    <row r="73" spans="1:2" x14ac:dyDescent="0.35">
      <c r="A73" s="2" t="s">
        <v>26</v>
      </c>
      <c r="B73">
        <v>197</v>
      </c>
    </row>
    <row r="74" spans="1:2" x14ac:dyDescent="0.35">
      <c r="A74" s="2" t="s">
        <v>5</v>
      </c>
      <c r="B74">
        <v>513</v>
      </c>
    </row>
    <row r="78" spans="1:2" x14ac:dyDescent="0.35">
      <c r="A78" t="s">
        <v>32</v>
      </c>
    </row>
    <row r="79" spans="1:2" x14ac:dyDescent="0.35">
      <c r="A79" s="1" t="s">
        <v>4</v>
      </c>
      <c r="B79" t="s">
        <v>29</v>
      </c>
    </row>
    <row r="80" spans="1:2" x14ac:dyDescent="0.35">
      <c r="A80" s="2" t="s">
        <v>30</v>
      </c>
      <c r="B80">
        <v>241</v>
      </c>
    </row>
    <row r="81" spans="1:2" x14ac:dyDescent="0.35">
      <c r="A81" s="2" t="s">
        <v>31</v>
      </c>
      <c r="B81">
        <v>272</v>
      </c>
    </row>
    <row r="82" spans="1:2" x14ac:dyDescent="0.35">
      <c r="A82" s="2" t="s">
        <v>5</v>
      </c>
      <c r="B82">
        <v>513</v>
      </c>
    </row>
    <row r="85" spans="1:2" x14ac:dyDescent="0.35">
      <c r="A85" s="2" t="s">
        <v>42</v>
      </c>
    </row>
    <row r="86" spans="1:2" x14ac:dyDescent="0.35">
      <c r="A86" s="1" t="s">
        <v>4</v>
      </c>
      <c r="B86" t="s">
        <v>33</v>
      </c>
    </row>
    <row r="87" spans="1:2" x14ac:dyDescent="0.35">
      <c r="A87" s="2" t="s">
        <v>35</v>
      </c>
      <c r="B87">
        <v>4</v>
      </c>
    </row>
    <row r="88" spans="1:2" x14ac:dyDescent="0.35">
      <c r="A88" s="2" t="s">
        <v>41</v>
      </c>
      <c r="B88">
        <v>5</v>
      </c>
    </row>
    <row r="89" spans="1:2" x14ac:dyDescent="0.35">
      <c r="A89" s="2" t="s">
        <v>37</v>
      </c>
      <c r="B89">
        <v>9</v>
      </c>
    </row>
    <row r="90" spans="1:2" x14ac:dyDescent="0.35">
      <c r="A90" s="2" t="s">
        <v>40</v>
      </c>
      <c r="B90">
        <v>14</v>
      </c>
    </row>
    <row r="91" spans="1:2" x14ac:dyDescent="0.35">
      <c r="A91" s="2" t="s">
        <v>34</v>
      </c>
      <c r="B91">
        <v>14</v>
      </c>
    </row>
    <row r="92" spans="1:2" x14ac:dyDescent="0.35">
      <c r="A92" s="2" t="s">
        <v>39</v>
      </c>
      <c r="B92">
        <v>65</v>
      </c>
    </row>
    <row r="93" spans="1:2" x14ac:dyDescent="0.35">
      <c r="A93" s="2" t="s">
        <v>36</v>
      </c>
      <c r="B93">
        <v>103</v>
      </c>
    </row>
    <row r="94" spans="1:2" x14ac:dyDescent="0.35">
      <c r="A94" s="2" t="s">
        <v>38</v>
      </c>
      <c r="B94">
        <v>299</v>
      </c>
    </row>
    <row r="95" spans="1:2" x14ac:dyDescent="0.35">
      <c r="A95" s="2" t="s">
        <v>5</v>
      </c>
      <c r="B95">
        <v>513</v>
      </c>
    </row>
    <row r="104" spans="1:1" x14ac:dyDescent="0.35">
      <c r="A104" s="1" t="s">
        <v>4</v>
      </c>
    </row>
    <row r="105" spans="1:1" x14ac:dyDescent="0.35">
      <c r="A105" s="2" t="s">
        <v>43</v>
      </c>
    </row>
    <row r="106" spans="1:1" x14ac:dyDescent="0.35">
      <c r="A106" s="2" t="s">
        <v>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49206-C843-416C-AD8D-D77D4EBE87CB}">
  <dimension ref="A1:N22"/>
  <sheetViews>
    <sheetView tabSelected="1" zoomScale="97" zoomScaleNormal="97" workbookViewId="0">
      <selection activeCell="J26" sqref="J26"/>
    </sheetView>
  </sheetViews>
  <sheetFormatPr defaultRowHeight="14.5" x14ac:dyDescent="0.35"/>
  <cols>
    <col min="2" max="2" width="14.08984375" bestFit="1" customWidth="1"/>
    <col min="5" max="5" width="9.6328125" customWidth="1"/>
    <col min="6" max="6" width="11.7265625" customWidth="1"/>
    <col min="8" max="8" width="13.26953125" customWidth="1"/>
    <col min="10" max="10" width="13.453125" customWidth="1"/>
  </cols>
  <sheetData>
    <row r="1" spans="1:14" x14ac:dyDescent="0.35">
      <c r="A1" s="8"/>
      <c r="B1" s="8"/>
      <c r="C1" s="8"/>
      <c r="D1" s="8"/>
      <c r="E1" s="8"/>
      <c r="F1" s="8"/>
      <c r="G1" s="8"/>
      <c r="H1" s="8"/>
      <c r="I1" s="8"/>
      <c r="J1" s="8"/>
      <c r="K1" s="8"/>
      <c r="L1" s="8"/>
      <c r="M1" s="8"/>
      <c r="N1" s="8"/>
    </row>
    <row r="2" spans="1:14" x14ac:dyDescent="0.35">
      <c r="A2" s="8"/>
      <c r="B2" s="8"/>
      <c r="C2" s="8"/>
      <c r="D2" s="8"/>
      <c r="E2" s="8"/>
      <c r="F2" s="8"/>
      <c r="G2" s="8"/>
      <c r="H2" s="8"/>
      <c r="I2" s="8"/>
      <c r="J2" s="8"/>
      <c r="K2" s="8"/>
      <c r="L2" s="8"/>
      <c r="M2" s="8"/>
      <c r="N2" s="8"/>
    </row>
    <row r="3" spans="1:14" x14ac:dyDescent="0.35">
      <c r="A3" s="8"/>
      <c r="B3" s="8"/>
      <c r="C3" s="8"/>
      <c r="D3" s="8"/>
      <c r="E3" s="8"/>
      <c r="F3" s="8"/>
      <c r="G3" s="8"/>
      <c r="H3" s="8"/>
      <c r="I3" s="8"/>
      <c r="J3" s="8"/>
      <c r="K3" s="8"/>
      <c r="L3" s="8"/>
      <c r="M3" s="8"/>
      <c r="N3" s="8"/>
    </row>
    <row r="4" spans="1:14" x14ac:dyDescent="0.35">
      <c r="A4" s="8"/>
      <c r="B4" s="8"/>
      <c r="C4" s="8"/>
      <c r="D4" s="8"/>
      <c r="E4" s="8"/>
      <c r="F4" s="8"/>
      <c r="G4" s="8"/>
      <c r="H4" s="8"/>
      <c r="I4" s="8"/>
      <c r="J4" s="8"/>
      <c r="K4" s="8"/>
      <c r="L4" s="8"/>
      <c r="M4" s="8"/>
      <c r="N4" s="8"/>
    </row>
    <row r="5" spans="1:14" x14ac:dyDescent="0.35">
      <c r="A5" s="8"/>
      <c r="B5" s="8"/>
      <c r="C5" s="8"/>
      <c r="D5" s="8"/>
      <c r="E5" s="8"/>
      <c r="F5" s="8"/>
      <c r="G5" s="8"/>
      <c r="H5" s="8"/>
      <c r="I5" s="8"/>
      <c r="J5" s="8"/>
      <c r="K5" s="8"/>
      <c r="L5" s="8"/>
      <c r="M5" s="8"/>
      <c r="N5" s="8"/>
    </row>
    <row r="6" spans="1:14" x14ac:dyDescent="0.35">
      <c r="A6" s="8"/>
      <c r="B6" s="8"/>
      <c r="C6" s="8"/>
      <c r="D6" s="8"/>
      <c r="E6" s="8"/>
      <c r="F6" s="8"/>
      <c r="G6" s="8"/>
      <c r="H6" s="8"/>
      <c r="I6" s="8"/>
      <c r="J6" s="8"/>
      <c r="K6" s="8"/>
      <c r="L6" s="8"/>
      <c r="M6" s="8"/>
      <c r="N6" s="8"/>
    </row>
    <row r="7" spans="1:14" x14ac:dyDescent="0.35">
      <c r="A7" s="8"/>
      <c r="B7" s="8"/>
      <c r="C7" s="8"/>
      <c r="D7" s="8"/>
      <c r="E7" s="8"/>
      <c r="F7" s="8"/>
      <c r="G7" s="8"/>
      <c r="H7" s="8"/>
      <c r="I7" s="8"/>
      <c r="J7" s="8"/>
      <c r="K7" s="8"/>
      <c r="L7" s="8"/>
      <c r="M7" s="8"/>
      <c r="N7" s="8"/>
    </row>
    <row r="8" spans="1:14" x14ac:dyDescent="0.35">
      <c r="A8" s="8"/>
      <c r="B8" s="8"/>
      <c r="C8" s="8"/>
      <c r="D8" s="8"/>
      <c r="E8" s="8"/>
      <c r="F8" s="8"/>
      <c r="G8" s="8"/>
      <c r="H8" s="8"/>
      <c r="I8" s="8"/>
      <c r="J8" s="8"/>
      <c r="K8" s="8"/>
      <c r="L8" s="8"/>
      <c r="M8" s="8"/>
      <c r="N8" s="8"/>
    </row>
    <row r="9" spans="1:14" x14ac:dyDescent="0.35">
      <c r="A9" s="8"/>
      <c r="B9" s="8"/>
      <c r="C9" s="8"/>
      <c r="D9" s="8"/>
      <c r="E9" s="8"/>
      <c r="F9" s="8"/>
      <c r="G9" s="8"/>
      <c r="H9" s="8"/>
      <c r="I9" s="8"/>
      <c r="J9" s="8"/>
      <c r="K9" s="8"/>
      <c r="L9" s="8"/>
      <c r="M9" s="8"/>
      <c r="N9" s="8"/>
    </row>
    <row r="10" spans="1:14" x14ac:dyDescent="0.35">
      <c r="A10" s="8"/>
      <c r="B10" s="8"/>
      <c r="C10" s="8"/>
      <c r="D10" s="8"/>
      <c r="E10" s="8"/>
      <c r="F10" s="8"/>
      <c r="G10" s="8"/>
      <c r="H10" s="8"/>
      <c r="I10" s="8"/>
      <c r="J10" s="8"/>
      <c r="K10" s="8"/>
      <c r="L10" s="8"/>
      <c r="M10" s="8"/>
      <c r="N10" s="8"/>
    </row>
    <row r="11" spans="1:14" x14ac:dyDescent="0.35">
      <c r="A11" s="8"/>
      <c r="B11" s="8"/>
      <c r="C11" s="8"/>
      <c r="D11" s="8"/>
      <c r="E11" s="8"/>
      <c r="F11" s="8"/>
      <c r="G11" s="8"/>
      <c r="H11" s="8"/>
      <c r="I11" s="8"/>
      <c r="J11" s="8"/>
      <c r="K11" s="8"/>
      <c r="L11" s="8"/>
      <c r="M11" s="8"/>
      <c r="N11" s="8"/>
    </row>
    <row r="12" spans="1:14" x14ac:dyDescent="0.35">
      <c r="A12" s="8"/>
      <c r="B12" s="8"/>
      <c r="C12" s="8"/>
      <c r="D12" s="8"/>
      <c r="E12" s="8"/>
      <c r="F12" s="8"/>
      <c r="G12" s="8"/>
      <c r="H12" s="8"/>
      <c r="I12" s="8"/>
      <c r="J12" s="8"/>
      <c r="K12" s="8"/>
      <c r="L12" s="8"/>
      <c r="M12" s="8"/>
      <c r="N12" s="8"/>
    </row>
    <row r="13" spans="1:14" x14ac:dyDescent="0.35">
      <c r="A13" s="8"/>
      <c r="B13" s="8"/>
      <c r="C13" s="8"/>
      <c r="D13" s="8"/>
      <c r="E13" s="8"/>
      <c r="F13" s="8"/>
      <c r="G13" s="8"/>
      <c r="H13" s="8"/>
      <c r="I13" s="8"/>
      <c r="J13" s="8"/>
      <c r="K13" s="8"/>
      <c r="L13" s="8"/>
      <c r="M13" s="8"/>
      <c r="N13" s="8"/>
    </row>
    <row r="14" spans="1:14" x14ac:dyDescent="0.35">
      <c r="A14" s="8"/>
      <c r="B14" s="8"/>
      <c r="C14" s="8"/>
      <c r="D14" s="8"/>
      <c r="E14" s="8"/>
      <c r="F14" s="8"/>
      <c r="G14" s="8"/>
      <c r="H14" s="8"/>
      <c r="I14" s="8"/>
      <c r="J14" s="8"/>
      <c r="K14" s="8"/>
      <c r="L14" s="8"/>
      <c r="M14" s="8"/>
      <c r="N14" s="8"/>
    </row>
    <row r="15" spans="1:14" x14ac:dyDescent="0.35">
      <c r="A15" s="8"/>
      <c r="B15" s="8"/>
      <c r="C15" s="8"/>
      <c r="D15" s="8"/>
      <c r="E15" s="8"/>
      <c r="F15" s="8"/>
      <c r="G15" s="8"/>
      <c r="H15" s="8"/>
      <c r="I15" s="8"/>
      <c r="J15" s="8"/>
      <c r="K15" s="8"/>
      <c r="L15" s="8"/>
      <c r="M15" s="8"/>
      <c r="N15" s="8"/>
    </row>
    <row r="16" spans="1:14" x14ac:dyDescent="0.35">
      <c r="A16" s="8"/>
      <c r="B16" s="8"/>
      <c r="C16" s="8"/>
      <c r="D16" s="8"/>
      <c r="E16" s="8"/>
      <c r="F16" s="8"/>
      <c r="G16" s="8"/>
      <c r="H16" s="8"/>
      <c r="I16" s="8"/>
      <c r="J16" s="8"/>
      <c r="K16" s="8"/>
      <c r="L16" s="8"/>
      <c r="M16" s="8"/>
      <c r="N16" s="8"/>
    </row>
    <row r="17" spans="1:14" x14ac:dyDescent="0.35">
      <c r="A17" s="8"/>
      <c r="B17" s="8"/>
      <c r="C17" s="8"/>
      <c r="D17" s="8"/>
      <c r="E17" s="8"/>
      <c r="F17" s="8"/>
      <c r="G17" s="8"/>
      <c r="H17" s="8"/>
      <c r="I17" s="8"/>
      <c r="J17" s="8"/>
      <c r="K17" s="8"/>
      <c r="L17" s="8"/>
      <c r="M17" s="8"/>
      <c r="N17" s="8"/>
    </row>
    <row r="18" spans="1:14" x14ac:dyDescent="0.35">
      <c r="A18" s="8"/>
      <c r="B18" s="8"/>
      <c r="C18" s="8"/>
      <c r="D18" s="8"/>
      <c r="E18" s="8"/>
      <c r="F18" s="8"/>
      <c r="G18" s="8"/>
      <c r="H18" s="8"/>
      <c r="I18" s="8"/>
      <c r="J18" s="8"/>
      <c r="K18" s="8"/>
      <c r="L18" s="8"/>
      <c r="M18" s="8"/>
      <c r="N18" s="8"/>
    </row>
    <row r="19" spans="1:14" x14ac:dyDescent="0.35">
      <c r="A19" s="8"/>
      <c r="B19" s="8"/>
      <c r="C19" s="8"/>
      <c r="D19" s="8"/>
      <c r="E19" s="8"/>
      <c r="F19" s="8"/>
      <c r="G19" s="8"/>
      <c r="H19" s="8"/>
      <c r="I19" s="8"/>
      <c r="J19" s="8"/>
      <c r="K19" s="8"/>
      <c r="L19" s="8"/>
      <c r="M19" s="8"/>
      <c r="N19" s="8"/>
    </row>
    <row r="20" spans="1:14" x14ac:dyDescent="0.35">
      <c r="A20" s="8"/>
      <c r="B20" s="8"/>
      <c r="C20" s="8"/>
      <c r="D20" s="8"/>
      <c r="E20" s="8"/>
      <c r="F20" s="8"/>
      <c r="G20" s="8"/>
      <c r="H20" s="8"/>
      <c r="I20" s="8"/>
      <c r="J20" s="8"/>
      <c r="K20" s="8"/>
      <c r="L20" s="8"/>
      <c r="M20" s="8"/>
      <c r="N20" s="8"/>
    </row>
    <row r="21" spans="1:14" x14ac:dyDescent="0.35">
      <c r="A21" s="8"/>
      <c r="B21" s="8"/>
      <c r="C21" s="8"/>
      <c r="D21" s="8"/>
      <c r="E21" s="8"/>
      <c r="F21" s="8"/>
      <c r="G21" s="8"/>
      <c r="H21" s="8"/>
      <c r="I21" s="8"/>
      <c r="J21" s="8"/>
      <c r="K21" s="8"/>
      <c r="L21" s="8"/>
      <c r="M21" s="8"/>
      <c r="N21" s="8"/>
    </row>
    <row r="22" spans="1:14" x14ac:dyDescent="0.35">
      <c r="A22" s="8"/>
      <c r="B22" s="8"/>
      <c r="C22" s="8"/>
      <c r="D22" s="8"/>
      <c r="E22" s="8"/>
      <c r="F22" s="8"/>
      <c r="G22" s="8"/>
      <c r="H22" s="8"/>
      <c r="I22" s="8"/>
      <c r="J22" s="8"/>
      <c r="K22" s="8"/>
      <c r="L22" s="8"/>
      <c r="M22" s="8"/>
      <c r="N22" s="8"/>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27A9-C1C9-4F66-8559-7DC73035CB1B}">
  <dimension ref="A1:O21"/>
  <sheetViews>
    <sheetView zoomScale="116" zoomScaleNormal="83" workbookViewId="0"/>
  </sheetViews>
  <sheetFormatPr defaultRowHeight="14.5" x14ac:dyDescent="0.35"/>
  <sheetData>
    <row r="1" spans="1:15" x14ac:dyDescent="0.35">
      <c r="A1" s="4"/>
      <c r="B1" s="4"/>
      <c r="C1" s="4"/>
      <c r="D1" s="4"/>
      <c r="E1" s="4"/>
      <c r="F1" s="4"/>
      <c r="G1" s="4"/>
      <c r="H1" s="4"/>
      <c r="I1" s="4"/>
      <c r="J1" s="4"/>
      <c r="K1" s="4"/>
      <c r="L1" s="4"/>
      <c r="M1" s="4"/>
      <c r="N1" s="4"/>
      <c r="O1" s="4"/>
    </row>
    <row r="2" spans="1:15" x14ac:dyDescent="0.35">
      <c r="A2" s="4"/>
      <c r="B2" s="4"/>
      <c r="C2" s="4"/>
      <c r="D2" s="4"/>
      <c r="E2" s="4"/>
      <c r="F2" s="4"/>
      <c r="G2" s="4"/>
      <c r="H2" s="4"/>
      <c r="I2" s="4"/>
      <c r="J2" s="4"/>
      <c r="K2" s="4"/>
      <c r="L2" s="4"/>
      <c r="M2" s="4"/>
      <c r="N2" s="4"/>
      <c r="O2" s="4"/>
    </row>
    <row r="3" spans="1:15" x14ac:dyDescent="0.35">
      <c r="A3" s="4"/>
      <c r="B3" s="4"/>
      <c r="C3" s="4"/>
      <c r="D3" s="4"/>
      <c r="E3" s="4"/>
      <c r="F3" s="4"/>
      <c r="G3" s="4"/>
      <c r="H3" s="4"/>
      <c r="I3" s="4"/>
      <c r="J3" s="4"/>
      <c r="K3" s="4"/>
      <c r="L3" s="4"/>
      <c r="M3" s="4"/>
      <c r="N3" s="4"/>
      <c r="O3" s="4"/>
    </row>
    <row r="4" spans="1:15" x14ac:dyDescent="0.35">
      <c r="A4" s="4"/>
      <c r="B4" s="4"/>
      <c r="C4" s="4"/>
      <c r="D4" s="4"/>
      <c r="E4" s="4"/>
      <c r="F4" s="4"/>
      <c r="G4" s="4"/>
      <c r="H4" s="4"/>
      <c r="I4" s="4"/>
      <c r="J4" s="4"/>
      <c r="K4" s="4"/>
      <c r="L4" s="4"/>
      <c r="M4" s="4"/>
      <c r="N4" s="4"/>
      <c r="O4" s="4"/>
    </row>
    <row r="5" spans="1:15" x14ac:dyDescent="0.35">
      <c r="A5" s="4"/>
      <c r="B5" s="4"/>
      <c r="C5" s="4"/>
      <c r="D5" s="4"/>
      <c r="E5" s="4"/>
      <c r="F5" s="4"/>
      <c r="G5" s="4"/>
      <c r="H5" s="4"/>
      <c r="I5" s="4"/>
      <c r="J5" s="4"/>
      <c r="K5" s="4"/>
      <c r="L5" s="4"/>
      <c r="M5" s="4"/>
      <c r="N5" s="4"/>
      <c r="O5" s="4"/>
    </row>
    <row r="6" spans="1:15" x14ac:dyDescent="0.35">
      <c r="A6" s="4"/>
      <c r="B6" s="4"/>
      <c r="C6" s="4"/>
      <c r="D6" s="4"/>
      <c r="E6" s="4"/>
      <c r="F6" s="4"/>
      <c r="G6" s="4"/>
      <c r="H6" s="4"/>
      <c r="I6" s="4"/>
      <c r="J6" s="4"/>
      <c r="K6" s="4"/>
      <c r="L6" s="4"/>
      <c r="M6" s="4"/>
      <c r="N6" s="4"/>
      <c r="O6" s="4"/>
    </row>
    <row r="7" spans="1:15" x14ac:dyDescent="0.35">
      <c r="A7" s="4"/>
      <c r="B7" s="4"/>
      <c r="C7" s="4"/>
      <c r="D7" s="4"/>
      <c r="E7" s="4"/>
      <c r="F7" s="4"/>
      <c r="G7" s="4"/>
      <c r="H7" s="4"/>
      <c r="I7" s="4"/>
      <c r="J7" s="4"/>
      <c r="K7" s="4"/>
      <c r="L7" s="4"/>
      <c r="M7" s="4"/>
      <c r="N7" s="4"/>
      <c r="O7" s="4"/>
    </row>
    <row r="8" spans="1:15" x14ac:dyDescent="0.35">
      <c r="A8" s="4"/>
      <c r="B8" s="4"/>
      <c r="C8" s="4"/>
      <c r="D8" s="4"/>
      <c r="E8" s="4"/>
      <c r="F8" s="4"/>
      <c r="G8" s="4"/>
      <c r="H8" s="4"/>
      <c r="I8" s="4"/>
      <c r="J8" s="4"/>
      <c r="K8" s="4"/>
      <c r="L8" s="4"/>
      <c r="M8" s="4"/>
      <c r="N8" s="4"/>
      <c r="O8" s="4"/>
    </row>
    <row r="9" spans="1:15" x14ac:dyDescent="0.35">
      <c r="A9" s="4"/>
      <c r="B9" s="4"/>
      <c r="C9" s="4"/>
      <c r="D9" s="4"/>
      <c r="E9" s="4"/>
      <c r="F9" s="4"/>
      <c r="G9" s="4"/>
      <c r="H9" s="4"/>
      <c r="I9" s="4"/>
      <c r="J9" s="4"/>
      <c r="K9" s="4"/>
      <c r="L9" s="4"/>
      <c r="M9" s="4"/>
      <c r="N9" s="4"/>
      <c r="O9" s="4"/>
    </row>
    <row r="10" spans="1:15" x14ac:dyDescent="0.35">
      <c r="A10" s="4"/>
      <c r="B10" s="4"/>
      <c r="C10" s="4"/>
      <c r="D10" s="4"/>
      <c r="E10" s="4"/>
      <c r="F10" s="4"/>
      <c r="G10" s="4"/>
      <c r="H10" s="4"/>
      <c r="I10" s="4"/>
      <c r="J10" s="4"/>
      <c r="K10" s="4"/>
      <c r="L10" s="4"/>
      <c r="M10" s="4"/>
      <c r="N10" s="4"/>
      <c r="O10" s="4"/>
    </row>
    <row r="11" spans="1:15" x14ac:dyDescent="0.35">
      <c r="A11" s="4"/>
      <c r="B11" s="4"/>
      <c r="C11" s="4"/>
      <c r="D11" s="4"/>
      <c r="E11" s="4"/>
      <c r="F11" s="4"/>
      <c r="G11" s="4"/>
      <c r="H11" s="4"/>
      <c r="I11" s="4"/>
      <c r="J11" s="4"/>
      <c r="K11" s="4"/>
      <c r="L11" s="4"/>
      <c r="M11" s="4"/>
      <c r="N11" s="4"/>
      <c r="O11" s="4"/>
    </row>
    <row r="12" spans="1:15" x14ac:dyDescent="0.35">
      <c r="A12" s="4"/>
      <c r="B12" s="4"/>
      <c r="C12" s="4"/>
      <c r="D12" s="4"/>
      <c r="E12" s="4"/>
      <c r="F12" s="4"/>
      <c r="G12" s="4"/>
      <c r="H12" s="4"/>
      <c r="I12" s="4"/>
      <c r="J12" s="4"/>
      <c r="K12" s="4"/>
      <c r="L12" s="4"/>
      <c r="M12" s="4"/>
      <c r="N12" s="4"/>
      <c r="O12" s="4"/>
    </row>
    <row r="13" spans="1:15" x14ac:dyDescent="0.35">
      <c r="A13" s="4"/>
      <c r="B13" s="4"/>
      <c r="C13" s="4"/>
      <c r="D13" s="4"/>
      <c r="E13" s="4"/>
      <c r="F13" s="4"/>
      <c r="G13" s="4"/>
      <c r="H13" s="4"/>
      <c r="I13" s="4"/>
      <c r="J13" s="4"/>
      <c r="K13" s="4"/>
      <c r="L13" s="4"/>
      <c r="M13" s="4"/>
      <c r="N13" s="4"/>
      <c r="O13" s="4"/>
    </row>
    <row r="14" spans="1:15" x14ac:dyDescent="0.35">
      <c r="A14" s="4"/>
      <c r="B14" s="4"/>
      <c r="C14" s="4"/>
      <c r="D14" s="4"/>
      <c r="E14" s="4"/>
      <c r="F14" s="4"/>
      <c r="G14" s="4"/>
      <c r="H14" s="4"/>
      <c r="I14" s="4"/>
      <c r="J14" s="4"/>
      <c r="K14" s="4"/>
      <c r="L14" s="4"/>
      <c r="M14" s="4"/>
      <c r="N14" s="4"/>
      <c r="O14" s="4"/>
    </row>
    <row r="15" spans="1:15" x14ac:dyDescent="0.35">
      <c r="A15" s="4"/>
      <c r="B15" s="4"/>
      <c r="C15" s="4"/>
      <c r="D15" s="4"/>
      <c r="E15" s="4"/>
      <c r="F15" s="4"/>
      <c r="G15" s="4"/>
      <c r="H15" s="4"/>
      <c r="I15" s="4"/>
      <c r="J15" s="4"/>
      <c r="K15" s="4"/>
      <c r="L15" s="4"/>
      <c r="M15" s="4"/>
      <c r="N15" s="4"/>
      <c r="O15" s="4"/>
    </row>
    <row r="16" spans="1:15" x14ac:dyDescent="0.35">
      <c r="A16" s="4"/>
      <c r="B16" s="4"/>
      <c r="C16" s="4"/>
      <c r="D16" s="4"/>
      <c r="E16" s="4"/>
      <c r="F16" s="4"/>
      <c r="G16" s="4"/>
      <c r="H16" s="4"/>
      <c r="I16" s="4"/>
      <c r="J16" s="4"/>
      <c r="K16" s="4"/>
      <c r="L16" s="4"/>
      <c r="M16" s="4"/>
      <c r="N16" s="4"/>
      <c r="O16" s="4"/>
    </row>
    <row r="17" spans="1:15" x14ac:dyDescent="0.35">
      <c r="A17" s="4"/>
      <c r="B17" s="4"/>
      <c r="C17" s="4"/>
      <c r="D17" s="4"/>
      <c r="E17" s="4"/>
      <c r="F17" s="4"/>
      <c r="G17" s="4"/>
      <c r="H17" s="4"/>
      <c r="I17" s="4"/>
      <c r="J17" s="4"/>
      <c r="K17" s="4"/>
      <c r="L17" s="4"/>
      <c r="M17" s="4"/>
      <c r="N17" s="4"/>
      <c r="O17" s="4"/>
    </row>
    <row r="18" spans="1:15" x14ac:dyDescent="0.35">
      <c r="A18" s="4"/>
      <c r="B18" s="4"/>
      <c r="C18" s="4"/>
      <c r="D18" s="4"/>
      <c r="E18" s="4"/>
      <c r="F18" s="4"/>
      <c r="G18" s="4"/>
      <c r="H18" s="4"/>
      <c r="I18" s="4"/>
      <c r="J18" s="4"/>
      <c r="K18" s="4"/>
      <c r="L18" s="4"/>
      <c r="M18" s="4"/>
      <c r="N18" s="4"/>
      <c r="O18" s="4"/>
    </row>
    <row r="19" spans="1:15" x14ac:dyDescent="0.35">
      <c r="A19" s="4"/>
      <c r="B19" s="4"/>
      <c r="C19" s="4"/>
      <c r="D19" s="4"/>
      <c r="E19" s="4"/>
      <c r="F19" s="4"/>
      <c r="G19" s="4"/>
      <c r="H19" s="4"/>
      <c r="I19" s="4"/>
      <c r="J19" s="4"/>
      <c r="K19" s="4"/>
      <c r="L19" s="4"/>
      <c r="M19" s="4"/>
      <c r="N19" s="4"/>
      <c r="O19" s="4"/>
    </row>
    <row r="20" spans="1:15" x14ac:dyDescent="0.35">
      <c r="A20" s="4"/>
      <c r="B20" s="4"/>
      <c r="C20" s="4"/>
      <c r="D20" s="4"/>
      <c r="E20" s="4"/>
      <c r="F20" s="4"/>
      <c r="G20" s="4"/>
      <c r="H20" s="4"/>
      <c r="I20" s="4"/>
      <c r="J20" s="4"/>
      <c r="K20" s="4"/>
      <c r="L20" s="4"/>
      <c r="M20" s="4"/>
      <c r="N20" s="4"/>
      <c r="O20" s="4"/>
    </row>
    <row r="21" spans="1:15" x14ac:dyDescent="0.35">
      <c r="A21" s="4"/>
      <c r="B21" s="4"/>
      <c r="C21" s="4"/>
      <c r="D21" s="4"/>
      <c r="E21" s="4"/>
      <c r="F21" s="4"/>
      <c r="G21" s="4"/>
      <c r="H21" s="4"/>
      <c r="I21" s="4"/>
      <c r="J21" s="4"/>
      <c r="K21" s="4"/>
      <c r="L21" s="4"/>
      <c r="M21" s="4"/>
      <c r="N21" s="4"/>
      <c r="O21"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6B3E5-AE67-46DB-9FB1-3FAE860EC10C}">
  <dimension ref="A1:L20"/>
  <sheetViews>
    <sheetView zoomScale="125" workbookViewId="0"/>
  </sheetViews>
  <sheetFormatPr defaultRowHeight="14.5" x14ac:dyDescent="0.35"/>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c r="B3" s="4"/>
      <c r="C3" s="4"/>
      <c r="D3" s="4"/>
      <c r="E3" s="4"/>
      <c r="F3" s="4"/>
      <c r="G3" s="4"/>
      <c r="H3" s="4"/>
      <c r="I3" s="4"/>
      <c r="J3" s="4"/>
      <c r="K3" s="4"/>
      <c r="L3" s="4"/>
    </row>
    <row r="4" spans="1:12" x14ac:dyDescent="0.35">
      <c r="A4" s="4"/>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row r="16" spans="1:12" x14ac:dyDescent="0.35">
      <c r="A16" s="4"/>
      <c r="B16" s="4"/>
      <c r="C16" s="4"/>
      <c r="D16" s="4"/>
      <c r="E16" s="4"/>
      <c r="F16" s="4"/>
      <c r="G16" s="4"/>
      <c r="H16" s="4"/>
      <c r="I16" s="4"/>
      <c r="J16" s="4"/>
      <c r="K16" s="4"/>
      <c r="L16" s="4"/>
    </row>
    <row r="17" spans="1:12" x14ac:dyDescent="0.35">
      <c r="A17" s="4"/>
      <c r="B17" s="4"/>
      <c r="C17" s="4"/>
      <c r="D17" s="4"/>
      <c r="E17" s="4"/>
      <c r="F17" s="4"/>
      <c r="G17" s="4"/>
      <c r="H17" s="4"/>
      <c r="I17" s="4"/>
      <c r="J17" s="4"/>
      <c r="K17" s="4"/>
      <c r="L17" s="4"/>
    </row>
    <row r="18" spans="1:12" x14ac:dyDescent="0.35">
      <c r="A18" s="4"/>
      <c r="B18" s="4"/>
      <c r="C18" s="4"/>
      <c r="D18" s="4"/>
      <c r="E18" s="4"/>
      <c r="F18" s="4"/>
      <c r="G18" s="4"/>
      <c r="H18" s="4"/>
      <c r="I18" s="4"/>
      <c r="J18" s="4"/>
      <c r="K18" s="4"/>
      <c r="L18" s="4"/>
    </row>
    <row r="19" spans="1:12" x14ac:dyDescent="0.35">
      <c r="A19" s="4"/>
      <c r="B19" s="4"/>
      <c r="C19" s="4"/>
      <c r="D19" s="4"/>
      <c r="E19" s="4"/>
      <c r="F19" s="4"/>
      <c r="G19" s="4"/>
      <c r="H19" s="4"/>
      <c r="I19" s="4"/>
      <c r="J19" s="4"/>
      <c r="K19" s="4"/>
      <c r="L19" s="4"/>
    </row>
    <row r="20" spans="1:12" x14ac:dyDescent="0.35">
      <c r="A20" s="4"/>
      <c r="B20" s="4"/>
      <c r="C20" s="4"/>
      <c r="D20" s="4"/>
      <c r="E20" s="4"/>
      <c r="F20" s="4"/>
      <c r="G20" s="4"/>
      <c r="H20" s="4"/>
      <c r="I20" s="4"/>
      <c r="J20" s="4"/>
      <c r="K20" s="4"/>
      <c r="L20"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6041A-F79F-48A9-8326-B855ECA965E2}">
  <dimension ref="A1:L20"/>
  <sheetViews>
    <sheetView zoomScale="130" workbookViewId="0"/>
  </sheetViews>
  <sheetFormatPr defaultRowHeight="14.5" x14ac:dyDescent="0.35"/>
  <sheetData>
    <row r="1" spans="1:12" x14ac:dyDescent="0.35">
      <c r="A1" s="4"/>
      <c r="B1" s="4"/>
      <c r="C1" s="4"/>
      <c r="D1" s="4"/>
      <c r="E1" s="4"/>
      <c r="F1" s="4"/>
      <c r="G1" s="4"/>
      <c r="H1" s="4"/>
      <c r="I1" s="4"/>
      <c r="J1" s="4"/>
      <c r="K1" s="4"/>
      <c r="L1" s="4"/>
    </row>
    <row r="2" spans="1:12" x14ac:dyDescent="0.35">
      <c r="A2" s="4"/>
      <c r="B2" s="4"/>
      <c r="C2" s="4"/>
      <c r="D2" s="4"/>
      <c r="E2" s="4"/>
      <c r="F2" s="4"/>
      <c r="G2" s="4"/>
      <c r="H2" s="4"/>
      <c r="I2" s="4"/>
      <c r="J2" s="4"/>
      <c r="K2" s="4"/>
      <c r="L2" s="4"/>
    </row>
    <row r="3" spans="1:12" x14ac:dyDescent="0.35">
      <c r="A3" s="4"/>
      <c r="B3" s="4"/>
      <c r="C3" s="4"/>
      <c r="D3" s="4"/>
      <c r="E3" s="4"/>
      <c r="F3" s="4"/>
      <c r="G3" s="4"/>
      <c r="H3" s="4"/>
      <c r="I3" s="4"/>
      <c r="J3" s="4"/>
      <c r="K3" s="4"/>
      <c r="L3" s="4"/>
    </row>
    <row r="4" spans="1:12" x14ac:dyDescent="0.35">
      <c r="A4" s="4"/>
      <c r="B4" s="4"/>
      <c r="C4" s="4"/>
      <c r="D4" s="4"/>
      <c r="E4" s="4"/>
      <c r="F4" s="4"/>
      <c r="G4" s="4"/>
      <c r="H4" s="4"/>
      <c r="I4" s="4"/>
      <c r="J4" s="4"/>
      <c r="K4" s="4"/>
      <c r="L4" s="4"/>
    </row>
    <row r="5" spans="1:12" x14ac:dyDescent="0.35">
      <c r="A5" s="4"/>
      <c r="B5" s="4"/>
      <c r="C5" s="4"/>
      <c r="D5" s="4"/>
      <c r="E5" s="4"/>
      <c r="F5" s="4"/>
      <c r="G5" s="4"/>
      <c r="H5" s="4"/>
      <c r="I5" s="4"/>
      <c r="J5" s="4"/>
      <c r="K5" s="4"/>
      <c r="L5" s="4"/>
    </row>
    <row r="6" spans="1:12" x14ac:dyDescent="0.35">
      <c r="A6" s="4"/>
      <c r="B6" s="4"/>
      <c r="C6" s="4"/>
      <c r="D6" s="4"/>
      <c r="E6" s="4"/>
      <c r="F6" s="4"/>
      <c r="G6" s="4"/>
      <c r="H6" s="4"/>
      <c r="I6" s="4"/>
      <c r="J6" s="4"/>
      <c r="K6" s="4"/>
      <c r="L6" s="4"/>
    </row>
    <row r="7" spans="1:12" x14ac:dyDescent="0.35">
      <c r="A7" s="4"/>
      <c r="B7" s="4"/>
      <c r="C7" s="4"/>
      <c r="D7" s="4"/>
      <c r="E7" s="4"/>
      <c r="F7" s="4"/>
      <c r="G7" s="4"/>
      <c r="H7" s="4"/>
      <c r="I7" s="4"/>
      <c r="J7" s="4"/>
      <c r="K7" s="4"/>
      <c r="L7" s="4"/>
    </row>
    <row r="8" spans="1:12" x14ac:dyDescent="0.35">
      <c r="A8" s="4"/>
      <c r="B8" s="4"/>
      <c r="C8" s="4"/>
      <c r="D8" s="4"/>
      <c r="E8" s="4"/>
      <c r="F8" s="4"/>
      <c r="G8" s="4"/>
      <c r="H8" s="4"/>
      <c r="I8" s="4"/>
      <c r="J8" s="4"/>
      <c r="K8" s="4"/>
      <c r="L8" s="4"/>
    </row>
    <row r="9" spans="1:12" x14ac:dyDescent="0.35">
      <c r="A9" s="4"/>
      <c r="B9" s="4"/>
      <c r="C9" s="4"/>
      <c r="D9" s="4"/>
      <c r="E9" s="4"/>
      <c r="F9" s="4"/>
      <c r="G9" s="4"/>
      <c r="H9" s="4"/>
      <c r="I9" s="4"/>
      <c r="J9" s="4"/>
      <c r="K9" s="4"/>
      <c r="L9" s="4"/>
    </row>
    <row r="10" spans="1:12" x14ac:dyDescent="0.35">
      <c r="A10" s="4"/>
      <c r="B10" s="4"/>
      <c r="C10" s="4"/>
      <c r="D10" s="4"/>
      <c r="E10" s="4"/>
      <c r="F10" s="4"/>
      <c r="G10" s="4"/>
      <c r="H10" s="4"/>
      <c r="I10" s="4"/>
      <c r="J10" s="4"/>
      <c r="K10" s="4"/>
      <c r="L10" s="4"/>
    </row>
    <row r="11" spans="1:12" x14ac:dyDescent="0.35">
      <c r="A11" s="4"/>
      <c r="B11" s="4"/>
      <c r="C11" s="4"/>
      <c r="D11" s="4"/>
      <c r="E11" s="4"/>
      <c r="F11" s="4"/>
      <c r="G11" s="4"/>
      <c r="H11" s="4"/>
      <c r="I11" s="4"/>
      <c r="J11" s="4"/>
      <c r="K11" s="4"/>
      <c r="L11" s="4"/>
    </row>
    <row r="12" spans="1:12" x14ac:dyDescent="0.35">
      <c r="A12" s="4"/>
      <c r="B12" s="4"/>
      <c r="C12" s="4"/>
      <c r="D12" s="4"/>
      <c r="E12" s="4"/>
      <c r="F12" s="4"/>
      <c r="G12" s="4"/>
      <c r="H12" s="4"/>
      <c r="I12" s="4"/>
      <c r="J12" s="4"/>
      <c r="K12" s="4"/>
      <c r="L12" s="4"/>
    </row>
    <row r="13" spans="1:12" x14ac:dyDescent="0.35">
      <c r="A13" s="4"/>
      <c r="B13" s="4"/>
      <c r="C13" s="4"/>
      <c r="D13" s="4"/>
      <c r="E13" s="4"/>
      <c r="F13" s="4"/>
      <c r="G13" s="4"/>
      <c r="H13" s="4"/>
      <c r="I13" s="4"/>
      <c r="J13" s="4"/>
      <c r="K13" s="4"/>
      <c r="L13" s="4"/>
    </row>
    <row r="14" spans="1:12" x14ac:dyDescent="0.35">
      <c r="A14" s="4"/>
      <c r="B14" s="4"/>
      <c r="C14" s="4"/>
      <c r="D14" s="4"/>
      <c r="E14" s="4"/>
      <c r="F14" s="4"/>
      <c r="G14" s="4"/>
      <c r="H14" s="4"/>
      <c r="I14" s="4"/>
      <c r="J14" s="4"/>
      <c r="K14" s="4"/>
      <c r="L14" s="4"/>
    </row>
    <row r="15" spans="1:12" x14ac:dyDescent="0.35">
      <c r="A15" s="4"/>
      <c r="B15" s="4"/>
      <c r="C15" s="4"/>
      <c r="D15" s="4"/>
      <c r="E15" s="4"/>
      <c r="F15" s="4"/>
      <c r="G15" s="4"/>
      <c r="H15" s="4"/>
      <c r="I15" s="4"/>
      <c r="J15" s="4"/>
      <c r="K15" s="4"/>
      <c r="L15" s="4"/>
    </row>
    <row r="16" spans="1:12" x14ac:dyDescent="0.35">
      <c r="A16" s="4"/>
      <c r="B16" s="4"/>
      <c r="C16" s="4"/>
      <c r="D16" s="4"/>
      <c r="E16" s="4"/>
      <c r="F16" s="4"/>
      <c r="G16" s="4"/>
      <c r="H16" s="4"/>
      <c r="I16" s="4"/>
      <c r="J16" s="4"/>
      <c r="K16" s="4"/>
      <c r="L16" s="4"/>
    </row>
    <row r="17" spans="1:12" x14ac:dyDescent="0.35">
      <c r="A17" s="4"/>
      <c r="B17" s="4"/>
      <c r="C17" s="4"/>
      <c r="D17" s="4"/>
      <c r="E17" s="4"/>
      <c r="F17" s="4"/>
      <c r="G17" s="4"/>
      <c r="H17" s="4"/>
      <c r="I17" s="4"/>
      <c r="J17" s="4"/>
      <c r="K17" s="4"/>
      <c r="L17" s="4"/>
    </row>
    <row r="18" spans="1:12" x14ac:dyDescent="0.35">
      <c r="A18" s="4"/>
      <c r="B18" s="4"/>
      <c r="C18" s="4"/>
      <c r="D18" s="4"/>
      <c r="E18" s="4"/>
      <c r="F18" s="4"/>
      <c r="G18" s="4"/>
      <c r="H18" s="4"/>
      <c r="I18" s="4"/>
      <c r="J18" s="4"/>
      <c r="K18" s="4"/>
      <c r="L18" s="4"/>
    </row>
    <row r="19" spans="1:12" x14ac:dyDescent="0.35">
      <c r="A19" s="4"/>
      <c r="B19" s="4"/>
      <c r="C19" s="4"/>
      <c r="D19" s="4"/>
      <c r="E19" s="4"/>
      <c r="F19" s="4"/>
      <c r="G19" s="4"/>
      <c r="H19" s="4"/>
      <c r="I19" s="4"/>
      <c r="J19" s="4"/>
      <c r="K19" s="4"/>
      <c r="L19" s="4"/>
    </row>
    <row r="20" spans="1:12" x14ac:dyDescent="0.35">
      <c r="A20" s="4"/>
      <c r="B20" s="4"/>
      <c r="C20" s="4"/>
      <c r="D20" s="4"/>
      <c r="E20" s="4"/>
      <c r="F20" s="4"/>
      <c r="G20" s="4"/>
      <c r="H20" s="4"/>
      <c r="I20" s="4"/>
      <c r="J20" s="4"/>
      <c r="K20" s="4"/>
      <c r="L20"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4E4F367-F6AA-44F0-AB64-C42C91A32C52}">
  <ds:schemaRefs/>
</ds:datastoreItem>
</file>

<file path=customXml/itemProps2.xml><?xml version="1.0" encoding="utf-8"?>
<ds:datastoreItem xmlns:ds="http://schemas.openxmlformats.org/officeDocument/2006/customXml" ds:itemID="{96AB23D1-18B5-4DDB-A8B1-5FBB060CD2AC}">
  <ds:schemaRefs/>
</ds:datastoreItem>
</file>

<file path=customXml/itemProps3.xml><?xml version="1.0" encoding="utf-8"?>
<ds:datastoreItem xmlns:ds="http://schemas.openxmlformats.org/officeDocument/2006/customXml" ds:itemID="{B1E33E0D-B0CC-4B44-9F36-4A05A2B17F61}">
  <ds:schemaRefs/>
</ds:datastoreItem>
</file>

<file path=customXml/itemProps4.xml><?xml version="1.0" encoding="utf-8"?>
<ds:datastoreItem xmlns:ds="http://schemas.openxmlformats.org/officeDocument/2006/customXml" ds:itemID="{DE35602B-FE22-47E8-B9DF-FF01950A214D}">
  <ds:schemaRefs/>
</ds:datastoreItem>
</file>

<file path=customXml/itemProps5.xml><?xml version="1.0" encoding="utf-8"?>
<ds:datastoreItem xmlns:ds="http://schemas.openxmlformats.org/officeDocument/2006/customXml" ds:itemID="{D5D792FB-1023-464D-9C6E-899338BA063A}">
  <ds:schemaRefs/>
</ds:datastoreItem>
</file>

<file path=customXml/itemProps6.xml><?xml version="1.0" encoding="utf-8"?>
<ds:datastoreItem xmlns:ds="http://schemas.openxmlformats.org/officeDocument/2006/customXml" ds:itemID="{46A6D093-D856-4509-80A5-2F8F3DC16196}">
  <ds:schemaRefs/>
</ds:datastoreItem>
</file>

<file path=customXml/itemProps7.xml><?xml version="1.0" encoding="utf-8"?>
<ds:datastoreItem xmlns:ds="http://schemas.openxmlformats.org/officeDocument/2006/customXml" ds:itemID="{5515561D-F080-4F27-B878-854069CCD7EA}">
  <ds:schemaRefs/>
</ds:datastoreItem>
</file>

<file path=customXml/itemProps8.xml><?xml version="1.0" encoding="utf-8"?>
<ds:datastoreItem xmlns:ds="http://schemas.openxmlformats.org/officeDocument/2006/customXml" ds:itemID="{60DC69EF-FD5A-46B6-9FF0-93DCD49449B3}">
  <ds:schemaRefs/>
</ds:datastoreItem>
</file>

<file path=customXml/itemProps9.xml><?xml version="1.0" encoding="utf-8"?>
<ds:datastoreItem xmlns:ds="http://schemas.openxmlformats.org/officeDocument/2006/customXml" ds:itemID="{F4603BDD-0794-4FB8-90C2-1F2CD05FA13C}">
  <ds:schemaRefs/>
</ds:datastoreItem>
</file>

<file path=customXml/itemProps10.xml><?xml version="1.0" encoding="utf-8"?>
<ds:datastoreItem xmlns:ds="http://schemas.openxmlformats.org/officeDocument/2006/customXml" ds:itemID="{7E3D2E38-1F3A-4E3E-8540-58C5EE2CDA8C}">
  <ds:schemaRefs>
    <ds:schemaRef ds:uri="http://schemas.microsoft.com/DataMashup"/>
  </ds:schemaRefs>
</ds:datastoreItem>
</file>

<file path=customXml/itemProps11.xml><?xml version="1.0" encoding="utf-8"?>
<ds:datastoreItem xmlns:ds="http://schemas.openxmlformats.org/officeDocument/2006/customXml" ds:itemID="{B627C1DA-3DED-4F16-9071-794C5779F48A}">
  <ds:schemaRefs/>
</ds:datastoreItem>
</file>

<file path=customXml/itemProps12.xml><?xml version="1.0" encoding="utf-8"?>
<ds:datastoreItem xmlns:ds="http://schemas.openxmlformats.org/officeDocument/2006/customXml" ds:itemID="{C269B3A4-E453-4DE5-98B3-9BF1E3284FAE}">
  <ds:schemaRefs/>
</ds:datastoreItem>
</file>

<file path=customXml/itemProps13.xml><?xml version="1.0" encoding="utf-8"?>
<ds:datastoreItem xmlns:ds="http://schemas.openxmlformats.org/officeDocument/2006/customXml" ds:itemID="{344546BC-F6CB-4CFF-A03F-C3737BDD85D0}">
  <ds:schemaRefs/>
</ds:datastoreItem>
</file>

<file path=customXml/itemProps14.xml><?xml version="1.0" encoding="utf-8"?>
<ds:datastoreItem xmlns:ds="http://schemas.openxmlformats.org/officeDocument/2006/customXml" ds:itemID="{C2637FA9-916B-4FBB-BD46-1B760D4E6A57}">
  <ds:schemaRefs/>
</ds:datastoreItem>
</file>

<file path=customXml/itemProps15.xml><?xml version="1.0" encoding="utf-8"?>
<ds:datastoreItem xmlns:ds="http://schemas.openxmlformats.org/officeDocument/2006/customXml" ds:itemID="{B0DA928B-50AD-4A0C-A481-F622E38DFDE4}">
  <ds:schemaRefs/>
</ds:datastoreItem>
</file>

<file path=customXml/itemProps16.xml><?xml version="1.0" encoding="utf-8"?>
<ds:datastoreItem xmlns:ds="http://schemas.openxmlformats.org/officeDocument/2006/customXml" ds:itemID="{967FC459-AE7C-4412-B80E-47D3B345D8F7}">
  <ds:schemaRefs/>
</ds:datastoreItem>
</file>

<file path=customXml/itemProps17.xml><?xml version="1.0" encoding="utf-8"?>
<ds:datastoreItem xmlns:ds="http://schemas.openxmlformats.org/officeDocument/2006/customXml" ds:itemID="{D7F00089-5DC0-4B4B-8BE0-2C4ED9F99EC7}">
  <ds:schemaRefs/>
</ds:datastoreItem>
</file>

<file path=customXml/itemProps18.xml><?xml version="1.0" encoding="utf-8"?>
<ds:datastoreItem xmlns:ds="http://schemas.openxmlformats.org/officeDocument/2006/customXml" ds:itemID="{768C8BB1-E9BF-40BE-B44A-13D109DDBC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 Report</vt:lpstr>
      <vt:lpstr>Dashboard</vt:lpstr>
      <vt:lpstr>Daily Emergency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Chaudhary</dc:creator>
  <cp:lastModifiedBy>Khushi Chaudhary</cp:lastModifiedBy>
  <dcterms:created xsi:type="dcterms:W3CDTF">2026-09-04T18:37:26Z</dcterms:created>
  <dcterms:modified xsi:type="dcterms:W3CDTF">2026-09-12T18:59:59Z</dcterms:modified>
</cp:coreProperties>
</file>